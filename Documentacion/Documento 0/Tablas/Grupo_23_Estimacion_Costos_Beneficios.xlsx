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comments2.xml" ContentType="application/vnd.openxmlformats-officedocument.spreadsheetml.comments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stos" sheetId="1" state="visible" r:id="rId3"/>
    <sheet name="Beneficios" sheetId="2" state="visible" r:id="rId4"/>
    <sheet name="ROI" sheetId="3" state="visible" r:id="rId5"/>
    <sheet name="Flujo de caja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12" authorId="0">
      <text>
        <r>
          <rPr>
            <sz val="10"/>
            <rFont val="Arial"/>
            <family val="2"/>
          </rPr>
          <t xml:space="preserve">Monto declarado en la Tabla D.1 del Documento 0 (≈34% del RRHH directo), a partir de la plantilla del curso.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5" authorId="0">
      <text>
        <r>
          <rPr>
            <sz val="10"/>
            <rFont val="Arial"/>
            <family val="2"/>
          </rPr>
          <t xml:space="preserve">Supuesto del equipo a partir del análisis cuantitativo (sección 5) y la plantilla del curso.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3" authorId="0">
      <text>
        <r>
          <rPr>
            <sz val="10"/>
            <rFont val="Arial"/>
            <family val="2"/>
          </rPr>
          <t xml:space="preserve">Tasa implícita en los flujos descontados de la Tabla D.4 (8.400.000 / 1,145 = 7.336.245).</t>
        </r>
      </text>
    </comment>
  </commentList>
</comments>
</file>

<file path=xl/sharedStrings.xml><?xml version="1.0" encoding="utf-8"?>
<sst xmlns="http://schemas.openxmlformats.org/spreadsheetml/2006/main" count="70" uniqueCount="61">
  <si>
    <t xml:space="preserve">Tabla D.1 — Costos estimados del proyecto (CLP)</t>
  </si>
  <si>
    <t xml:space="preserve">Anexo D del Documento 0. Azul = dato de entrada; negro = fórmula. Proyecto de 12 meses, 6 roles full-time.</t>
  </si>
  <si>
    <t xml:space="preserve">Meses del proyecto</t>
  </si>
  <si>
    <t xml:space="preserve">Concepto</t>
  </si>
  <si>
    <t xml:space="preserve">Detalle</t>
  </si>
  <si>
    <t xml:space="preserve">Valor mensual CLP</t>
  </si>
  <si>
    <t xml:space="preserve">Valor anual CLP</t>
  </si>
  <si>
    <t xml:space="preserve">Jefe de Proyecto</t>
  </si>
  <si>
    <t xml:space="preserve">1 profesional</t>
  </si>
  <si>
    <t xml:space="preserve">Arquitecto</t>
  </si>
  <si>
    <t xml:space="preserve">Promotor-DevOps</t>
  </si>
  <si>
    <t xml:space="preserve">Desarrollador</t>
  </si>
  <si>
    <t xml:space="preserve">Administrador BD</t>
  </si>
  <si>
    <t xml:space="preserve">QA / Tester</t>
  </si>
  <si>
    <t xml:space="preserve">Subtotal RRHH directo</t>
  </si>
  <si>
    <t xml:space="preserve">Costos indirectos</t>
  </si>
  <si>
    <t xml:space="preserve">Total RRHH con indirectos</t>
  </si>
  <si>
    <t xml:space="preserve">Costo total de equipo profesional</t>
  </si>
  <si>
    <t xml:space="preserve">Licencias y servicios</t>
  </si>
  <si>
    <t xml:space="preserve">SSL, dominio, cloud, DevOps</t>
  </si>
  <si>
    <t xml:space="preserve">Total inversión proyecto</t>
  </si>
  <si>
    <t xml:space="preserve">Costo total a 12 meses</t>
  </si>
  <si>
    <t xml:space="preserve">Fuente: Elaboración propia del equipo a partir de plantilla del curso, 2026.</t>
  </si>
  <si>
    <t xml:space="preserve">Tabla D.2 — Beneficios mensuales y anuales esperados (CLP)</t>
  </si>
  <si>
    <t xml:space="preserve">Justificación</t>
  </si>
  <si>
    <t xml:space="preserve">Valor CLP</t>
  </si>
  <si>
    <t xml:space="preserve">Beneficio mensual</t>
  </si>
  <si>
    <t xml:space="preserve">Ahorro mensual estimado del sistema en operación</t>
  </si>
  <si>
    <t xml:space="preserve">Beneficio anual</t>
  </si>
  <si>
    <t xml:space="preserve">Beneficio mensual × 12 meses</t>
  </si>
  <si>
    <t xml:space="preserve">Tabla D.3 — Resumen ejecutivo del análisis ROI</t>
  </si>
  <si>
    <t xml:space="preserve">Monto CLP</t>
  </si>
  <si>
    <t xml:space="preserve">Costo RRHH total con indirectos</t>
  </si>
  <si>
    <t xml:space="preserve">Costo licencias y servicios</t>
  </si>
  <si>
    <t xml:space="preserve">Costo total proyecto</t>
  </si>
  <si>
    <t xml:space="preserve">Ganancia neta anual</t>
  </si>
  <si>
    <t xml:space="preserve">ROI 1er año</t>
  </si>
  <si>
    <t xml:space="preserve">Tabla D.4 — Flujo de caja descontado a 12 meses (CLP)</t>
  </si>
  <si>
    <t xml:space="preserve">Inversión del período 0 = RRHH directo de un mes + licencias. Flujo neto mensual = beneficio mensual − RRHH directo mensual.</t>
  </si>
  <si>
    <t xml:space="preserve">Tasa de descuento mensual</t>
  </si>
  <si>
    <t xml:space="preserve">Período</t>
  </si>
  <si>
    <t xml:space="preserve">Inversión CLP</t>
  </si>
  <si>
    <t xml:space="preserve">Flujo neto CLP</t>
  </si>
  <si>
    <t xml:space="preserve">Flujo descontado CLP</t>
  </si>
  <si>
    <t xml:space="preserve">Flujo de caja total CLP</t>
  </si>
  <si>
    <t xml:space="preserve">Período 0</t>
  </si>
  <si>
    <t xml:space="preserve">Mes 1</t>
  </si>
  <si>
    <t xml:space="preserve">Mes 2</t>
  </si>
  <si>
    <t xml:space="preserve">Mes 3</t>
  </si>
  <si>
    <t xml:space="preserve">Mes 4</t>
  </si>
  <si>
    <t xml:space="preserve">Mes 5</t>
  </si>
  <si>
    <t xml:space="preserve">Mes 6</t>
  </si>
  <si>
    <t xml:space="preserve">Mes 7</t>
  </si>
  <si>
    <t xml:space="preserve">Mes 8</t>
  </si>
  <si>
    <t xml:space="preserve">Mes 9</t>
  </si>
  <si>
    <t xml:space="preserve">Mes 10</t>
  </si>
  <si>
    <t xml:space="preserve">Mes 11</t>
  </si>
  <si>
    <t xml:space="preserve">Mes 12</t>
  </si>
  <si>
    <t xml:space="preserve">Suma flujos descontados (meses 1-12)</t>
  </si>
  <si>
    <t xml:space="preserve">VAN 12 meses (incluye inversión)</t>
  </si>
  <si>
    <t xml:space="preserve">TIR mensual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</si>
</sst>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\$#,##0;&quot;-$&quot;#,##0;\—"/>
    <numFmt numFmtId="167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9"/>
      <name val="Arial"/>
      <family val="0"/>
      <charset val="1"/>
    </font>
    <font>
      <sz val="10"/>
      <name val="Arial"/>
      <family val="2"/>
    </font>
    <font>
      <sz val="10"/>
      <color rgb="FF008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DEB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6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9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99999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4"/>
    <col collapsed="false" customWidth="true" hidden="false" outlineLevel="0" max="4" min="3" style="0" width="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C3" s="3" t="s">
        <v>2</v>
      </c>
      <c r="D3" s="4" t="n">
        <v>12</v>
      </c>
    </row>
    <row r="4" customFormat="false" ht="15" hidden="false" customHeight="false" outlineLevel="0" collapsed="false">
      <c r="A4" s="5" t="s">
        <v>3</v>
      </c>
      <c r="B4" s="5" t="s">
        <v>4</v>
      </c>
      <c r="C4" s="5" t="s">
        <v>5</v>
      </c>
      <c r="D4" s="5" t="s">
        <v>6</v>
      </c>
    </row>
    <row r="5" customFormat="false" ht="15" hidden="false" customHeight="false" outlineLevel="0" collapsed="false">
      <c r="A5" s="6" t="s">
        <v>7</v>
      </c>
      <c r="B5" s="6" t="s">
        <v>8</v>
      </c>
      <c r="C5" s="7" t="n">
        <v>2000000</v>
      </c>
      <c r="D5" s="8" t="n">
        <f aca="false">C5*$D$3</f>
        <v>24000000</v>
      </c>
    </row>
    <row r="6" customFormat="false" ht="15" hidden="false" customHeight="false" outlineLevel="0" collapsed="false">
      <c r="A6" s="6" t="s">
        <v>9</v>
      </c>
      <c r="B6" s="6" t="s">
        <v>8</v>
      </c>
      <c r="C6" s="7" t="n">
        <v>2000000</v>
      </c>
      <c r="D6" s="8" t="n">
        <f aca="false">C6*$D$3</f>
        <v>24000000</v>
      </c>
    </row>
    <row r="7" customFormat="false" ht="15" hidden="false" customHeight="false" outlineLevel="0" collapsed="false">
      <c r="A7" s="6" t="s">
        <v>10</v>
      </c>
      <c r="B7" s="6" t="s">
        <v>8</v>
      </c>
      <c r="C7" s="7" t="n">
        <v>1700000</v>
      </c>
      <c r="D7" s="8" t="n">
        <f aca="false">C7*$D$3</f>
        <v>20400000</v>
      </c>
    </row>
    <row r="8" customFormat="false" ht="15" hidden="false" customHeight="false" outlineLevel="0" collapsed="false">
      <c r="A8" s="6" t="s">
        <v>11</v>
      </c>
      <c r="B8" s="6" t="s">
        <v>8</v>
      </c>
      <c r="C8" s="7" t="n">
        <v>1500000</v>
      </c>
      <c r="D8" s="8" t="n">
        <f aca="false">C8*$D$3</f>
        <v>18000000</v>
      </c>
    </row>
    <row r="9" customFormat="false" ht="15" hidden="false" customHeight="false" outlineLevel="0" collapsed="false">
      <c r="A9" s="6" t="s">
        <v>12</v>
      </c>
      <c r="B9" s="6" t="s">
        <v>8</v>
      </c>
      <c r="C9" s="7" t="n">
        <v>1300000</v>
      </c>
      <c r="D9" s="8" t="n">
        <f aca="false">C9*$D$3</f>
        <v>15600000</v>
      </c>
    </row>
    <row r="10" customFormat="false" ht="15" hidden="false" customHeight="false" outlineLevel="0" collapsed="false">
      <c r="A10" s="6" t="s">
        <v>13</v>
      </c>
      <c r="B10" s="6" t="s">
        <v>8</v>
      </c>
      <c r="C10" s="7" t="n">
        <v>1100000</v>
      </c>
      <c r="D10" s="8" t="n">
        <f aca="false">C10*$D$3</f>
        <v>13200000</v>
      </c>
    </row>
    <row r="11" customFormat="false" ht="15" hidden="false" customHeight="false" outlineLevel="0" collapsed="false">
      <c r="A11" s="9" t="s">
        <v>14</v>
      </c>
      <c r="B11" s="10" t="str">
        <f aca="false">COUNTA(A5:A10)&amp;" roles full-time"</f>
        <v>6 roles full-time</v>
      </c>
      <c r="C11" s="11" t="n">
        <f aca="false">SUM(C5:C10)</f>
        <v>9600000</v>
      </c>
      <c r="D11" s="11" t="n">
        <f aca="false">SUM(D5:D10)</f>
        <v>115200000</v>
      </c>
    </row>
    <row r="12" customFormat="false" ht="15" hidden="false" customHeight="false" outlineLevel="0" collapsed="false">
      <c r="A12" s="6" t="s">
        <v>15</v>
      </c>
      <c r="B12" s="6" t="str">
        <f aca="false">"Administración, oficina, equipamiento ≈"&amp;TEXT(D12/D11,"0%")</f>
        <v>Administración, oficina, equipamiento ≈34%</v>
      </c>
      <c r="C12" s="8"/>
      <c r="D12" s="7" t="n">
        <v>39400000</v>
      </c>
    </row>
    <row r="13" customFormat="false" ht="15" hidden="false" customHeight="false" outlineLevel="0" collapsed="false">
      <c r="A13" s="9" t="s">
        <v>16</v>
      </c>
      <c r="B13" s="10" t="s">
        <v>17</v>
      </c>
      <c r="C13" s="12"/>
      <c r="D13" s="11" t="n">
        <f aca="false">D11+D12</f>
        <v>154600000</v>
      </c>
    </row>
    <row r="14" customFormat="false" ht="15" hidden="false" customHeight="false" outlineLevel="0" collapsed="false">
      <c r="A14" s="6" t="s">
        <v>18</v>
      </c>
      <c r="B14" s="6" t="s">
        <v>19</v>
      </c>
      <c r="C14" s="8"/>
      <c r="D14" s="7" t="n">
        <v>470000</v>
      </c>
    </row>
    <row r="15" customFormat="false" ht="15" hidden="false" customHeight="false" outlineLevel="0" collapsed="false">
      <c r="A15" s="13" t="s">
        <v>20</v>
      </c>
      <c r="B15" s="13" t="s">
        <v>21</v>
      </c>
      <c r="C15" s="14"/>
      <c r="D15" s="15" t="n">
        <f aca="false">D13+D14</f>
        <v>155070000</v>
      </c>
    </row>
    <row r="17" customFormat="false" ht="15" hidden="false" customHeight="false" outlineLevel="0" collapsed="false">
      <c r="A17" s="16" t="s">
        <v>22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52"/>
    <col collapsed="false" customWidth="true" hidden="false" outlineLevel="0" max="3" min="3" style="0" width="20"/>
  </cols>
  <sheetData>
    <row r="1" customFormat="false" ht="17.35" hidden="false" customHeight="false" outlineLevel="0" collapsed="false">
      <c r="A1" s="1" t="s">
        <v>23</v>
      </c>
    </row>
    <row r="4" customFormat="false" ht="15" hidden="false" customHeight="false" outlineLevel="0" collapsed="false">
      <c r="A4" s="5" t="s">
        <v>3</v>
      </c>
      <c r="B4" s="5" t="s">
        <v>24</v>
      </c>
      <c r="C4" s="5" t="s">
        <v>25</v>
      </c>
    </row>
    <row r="5" customFormat="false" ht="15" hidden="false" customHeight="false" outlineLevel="0" collapsed="false">
      <c r="A5" s="6" t="s">
        <v>26</v>
      </c>
      <c r="B5" s="6" t="s">
        <v>27</v>
      </c>
      <c r="C5" s="7" t="n">
        <v>18000000</v>
      </c>
    </row>
    <row r="6" customFormat="false" ht="15" hidden="false" customHeight="false" outlineLevel="0" collapsed="false">
      <c r="A6" s="3" t="s">
        <v>28</v>
      </c>
      <c r="B6" s="6" t="s">
        <v>29</v>
      </c>
      <c r="C6" s="17" t="n">
        <f aca="false">C5*Costos!D3</f>
        <v>216000000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0"/>
  </cols>
  <sheetData>
    <row r="1" customFormat="false" ht="17.35" hidden="false" customHeight="false" outlineLevel="0" collapsed="false">
      <c r="A1" s="1" t="s">
        <v>30</v>
      </c>
    </row>
    <row r="4" customFormat="false" ht="15" hidden="false" customHeight="false" outlineLevel="0" collapsed="false">
      <c r="A4" s="5" t="s">
        <v>3</v>
      </c>
      <c r="B4" s="5" t="s">
        <v>31</v>
      </c>
    </row>
    <row r="5" customFormat="false" ht="15" hidden="false" customHeight="false" outlineLevel="0" collapsed="false">
      <c r="A5" s="6" t="s">
        <v>32</v>
      </c>
      <c r="B5" s="18" t="n">
        <f aca="false">Costos!D13</f>
        <v>154600000</v>
      </c>
    </row>
    <row r="6" customFormat="false" ht="15" hidden="false" customHeight="false" outlineLevel="0" collapsed="false">
      <c r="A6" s="6" t="s">
        <v>33</v>
      </c>
      <c r="B6" s="18" t="n">
        <f aca="false">Costos!D14</f>
        <v>470000</v>
      </c>
    </row>
    <row r="7" customFormat="false" ht="15" hidden="false" customHeight="false" outlineLevel="0" collapsed="false">
      <c r="A7" s="6" t="s">
        <v>34</v>
      </c>
      <c r="B7" s="17" t="n">
        <f aca="false">B5+B6</f>
        <v>155070000</v>
      </c>
    </row>
    <row r="8" customFormat="false" ht="15" hidden="false" customHeight="false" outlineLevel="0" collapsed="false">
      <c r="A8" s="6" t="s">
        <v>26</v>
      </c>
      <c r="B8" s="18" t="n">
        <f aca="false">Beneficios!C5</f>
        <v>18000000</v>
      </c>
    </row>
    <row r="9" customFormat="false" ht="15" hidden="false" customHeight="false" outlineLevel="0" collapsed="false">
      <c r="A9" s="6" t="s">
        <v>28</v>
      </c>
      <c r="B9" s="18" t="n">
        <f aca="false">Beneficios!C6</f>
        <v>216000000</v>
      </c>
    </row>
    <row r="10" customFormat="false" ht="15" hidden="false" customHeight="false" outlineLevel="0" collapsed="false">
      <c r="A10" s="3" t="s">
        <v>35</v>
      </c>
      <c r="B10" s="17" t="n">
        <f aca="false">B9-B7</f>
        <v>60930000</v>
      </c>
    </row>
    <row r="11" customFormat="false" ht="15" hidden="false" customHeight="false" outlineLevel="0" collapsed="false">
      <c r="A11" s="3" t="s">
        <v>36</v>
      </c>
      <c r="B11" s="19" t="n">
        <f aca="false">B10/B7</f>
        <v>0.392919326755659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5" min="2" style="0" width="22"/>
  </cols>
  <sheetData>
    <row r="1" customFormat="false" ht="17.35" hidden="false" customHeight="false" outlineLevel="0" collapsed="false">
      <c r="A1" s="1" t="s">
        <v>37</v>
      </c>
    </row>
    <row r="2" customFormat="false" ht="15" hidden="false" customHeight="false" outlineLevel="0" collapsed="false">
      <c r="A2" s="2" t="s">
        <v>38</v>
      </c>
    </row>
    <row r="3" customFormat="false" ht="15" hidden="false" customHeight="false" outlineLevel="0" collapsed="false">
      <c r="A3" s="3" t="s">
        <v>39</v>
      </c>
      <c r="B3" s="20" t="n">
        <v>0.145</v>
      </c>
    </row>
    <row r="5" customFormat="false" ht="15" hidden="false" customHeight="false" outlineLevel="0" collapsed="false">
      <c r="A5" s="5" t="s">
        <v>40</v>
      </c>
      <c r="B5" s="5" t="s">
        <v>41</v>
      </c>
      <c r="C5" s="5" t="s">
        <v>42</v>
      </c>
      <c r="D5" s="5" t="s">
        <v>43</v>
      </c>
      <c r="E5" s="5" t="s">
        <v>44</v>
      </c>
    </row>
    <row r="6" customFormat="false" ht="15" hidden="false" customHeight="false" outlineLevel="0" collapsed="false">
      <c r="A6" s="6" t="s">
        <v>45</v>
      </c>
      <c r="B6" s="8" t="n">
        <f aca="false">-(Costos!C11+Costos!D14)</f>
        <v>-10070000</v>
      </c>
      <c r="C6" s="8"/>
      <c r="D6" s="8" t="n">
        <f aca="false">B6</f>
        <v>-10070000</v>
      </c>
      <c r="E6" s="8" t="n">
        <f aca="false">B6</f>
        <v>-10070000</v>
      </c>
    </row>
    <row r="7" customFormat="false" ht="15" hidden="false" customHeight="false" outlineLevel="0" collapsed="false">
      <c r="A7" s="6" t="s">
        <v>46</v>
      </c>
      <c r="B7" s="8"/>
      <c r="C7" s="8" t="n">
        <f aca="false">Beneficios!$C$5-Costos!$C$11</f>
        <v>8400000</v>
      </c>
      <c r="D7" s="8" t="n">
        <f aca="false">C7/(1+$B$3)^1</f>
        <v>7336244.54148472</v>
      </c>
      <c r="E7" s="8" t="n">
        <f aca="false">C7</f>
        <v>8400000</v>
      </c>
    </row>
    <row r="8" customFormat="false" ht="15" hidden="false" customHeight="false" outlineLevel="0" collapsed="false">
      <c r="A8" s="6" t="s">
        <v>47</v>
      </c>
      <c r="B8" s="8"/>
      <c r="C8" s="8" t="n">
        <f aca="false">Beneficios!$C$5-Costos!$C$11</f>
        <v>8400000</v>
      </c>
      <c r="D8" s="8" t="n">
        <f aca="false">C8/(1+$B$3)^2</f>
        <v>6407200.47291242</v>
      </c>
      <c r="E8" s="8" t="n">
        <f aca="false">C8</f>
        <v>8400000</v>
      </c>
    </row>
    <row r="9" customFormat="false" ht="15" hidden="false" customHeight="false" outlineLevel="0" collapsed="false">
      <c r="A9" s="6" t="s">
        <v>48</v>
      </c>
      <c r="B9" s="8"/>
      <c r="C9" s="8" t="n">
        <f aca="false">Beneficios!$C$5-Costos!$C$11</f>
        <v>8400000</v>
      </c>
      <c r="D9" s="8" t="n">
        <f aca="false">C9/(1+$B$3)^3</f>
        <v>5595808.27328595</v>
      </c>
      <c r="E9" s="8" t="n">
        <f aca="false">C9</f>
        <v>8400000</v>
      </c>
    </row>
    <row r="10" customFormat="false" ht="15" hidden="false" customHeight="false" outlineLevel="0" collapsed="false">
      <c r="A10" s="6" t="s">
        <v>49</v>
      </c>
      <c r="B10" s="8"/>
      <c r="C10" s="8" t="n">
        <f aca="false">Beneficios!$C$5-Costos!$C$11</f>
        <v>8400000</v>
      </c>
      <c r="D10" s="8" t="n">
        <f aca="false">C10/(1+$B$3)^4</f>
        <v>4887168.79762965</v>
      </c>
      <c r="E10" s="8" t="n">
        <f aca="false">C10</f>
        <v>8400000</v>
      </c>
    </row>
    <row r="11" customFormat="false" ht="15" hidden="false" customHeight="false" outlineLevel="0" collapsed="false">
      <c r="A11" s="6" t="s">
        <v>50</v>
      </c>
      <c r="B11" s="8"/>
      <c r="C11" s="8" t="n">
        <f aca="false">Beneficios!$C$5-Costos!$C$11</f>
        <v>8400000</v>
      </c>
      <c r="D11" s="8" t="n">
        <f aca="false">C11/(1+$B$3)^5</f>
        <v>4268269.69225297</v>
      </c>
      <c r="E11" s="8" t="n">
        <f aca="false">C11</f>
        <v>8400000</v>
      </c>
    </row>
    <row r="12" customFormat="false" ht="15" hidden="false" customHeight="false" outlineLevel="0" collapsed="false">
      <c r="A12" s="6" t="s">
        <v>51</v>
      </c>
      <c r="B12" s="8"/>
      <c r="C12" s="8" t="n">
        <f aca="false">Beneficios!$C$5-Costos!$C$11</f>
        <v>8400000</v>
      </c>
      <c r="D12" s="8" t="n">
        <f aca="false">C12/(1+$B$3)^6</f>
        <v>3727746.45611613</v>
      </c>
      <c r="E12" s="8" t="n">
        <f aca="false">C12</f>
        <v>8400000</v>
      </c>
    </row>
    <row r="13" customFormat="false" ht="15" hidden="false" customHeight="false" outlineLevel="0" collapsed="false">
      <c r="A13" s="6" t="s">
        <v>52</v>
      </c>
      <c r="B13" s="8"/>
      <c r="C13" s="8" t="n">
        <f aca="false">Beneficios!$C$5-Costos!$C$11</f>
        <v>8400000</v>
      </c>
      <c r="D13" s="8" t="n">
        <f aca="false">C13/(1+$B$3)^7</f>
        <v>3255673.76080012</v>
      </c>
      <c r="E13" s="8" t="n">
        <f aca="false">C13</f>
        <v>8400000</v>
      </c>
    </row>
    <row r="14" customFormat="false" ht="15" hidden="false" customHeight="false" outlineLevel="0" collapsed="false">
      <c r="A14" s="6" t="s">
        <v>53</v>
      </c>
      <c r="B14" s="8"/>
      <c r="C14" s="8" t="n">
        <f aca="false">Beneficios!$C$5-Costos!$C$11</f>
        <v>8400000</v>
      </c>
      <c r="D14" s="8" t="n">
        <f aca="false">C14/(1+$B$3)^8</f>
        <v>2843383.19720534</v>
      </c>
      <c r="E14" s="8" t="n">
        <f aca="false">C14</f>
        <v>8400000</v>
      </c>
    </row>
    <row r="15" customFormat="false" ht="15" hidden="false" customHeight="false" outlineLevel="0" collapsed="false">
      <c r="A15" s="6" t="s">
        <v>54</v>
      </c>
      <c r="B15" s="8"/>
      <c r="C15" s="8" t="n">
        <f aca="false">Beneficios!$C$5-Costos!$C$11</f>
        <v>8400000</v>
      </c>
      <c r="D15" s="8" t="n">
        <f aca="false">C15/(1+$B$3)^9</f>
        <v>2483304.10236274</v>
      </c>
      <c r="E15" s="8" t="n">
        <f aca="false">C15</f>
        <v>8400000</v>
      </c>
    </row>
    <row r="16" customFormat="false" ht="15" hidden="false" customHeight="false" outlineLevel="0" collapsed="false">
      <c r="A16" s="6" t="s">
        <v>55</v>
      </c>
      <c r="B16" s="8"/>
      <c r="C16" s="8" t="n">
        <f aca="false">Beneficios!$C$5-Costos!$C$11</f>
        <v>8400000</v>
      </c>
      <c r="D16" s="8" t="n">
        <f aca="false">C16/(1+$B$3)^10</f>
        <v>2168824.54354825</v>
      </c>
      <c r="E16" s="8" t="n">
        <f aca="false">C16</f>
        <v>8400000</v>
      </c>
    </row>
    <row r="17" customFormat="false" ht="15" hidden="false" customHeight="false" outlineLevel="0" collapsed="false">
      <c r="A17" s="6" t="s">
        <v>56</v>
      </c>
      <c r="B17" s="8"/>
      <c r="C17" s="8" t="n">
        <f aca="false">Beneficios!$C$5-Costos!$C$11</f>
        <v>8400000</v>
      </c>
      <c r="D17" s="8" t="n">
        <f aca="false">C17/(1+$B$3)^11</f>
        <v>1894169.90702904</v>
      </c>
      <c r="E17" s="8" t="n">
        <f aca="false">C17</f>
        <v>8400000</v>
      </c>
    </row>
    <row r="18" customFormat="false" ht="15" hidden="false" customHeight="false" outlineLevel="0" collapsed="false">
      <c r="A18" s="6" t="s">
        <v>57</v>
      </c>
      <c r="B18" s="8"/>
      <c r="C18" s="8" t="n">
        <f aca="false">Beneficios!$C$5-Costos!$C$11</f>
        <v>8400000</v>
      </c>
      <c r="D18" s="8" t="n">
        <f aca="false">C18/(1+$B$3)^12</f>
        <v>1654296.86203409</v>
      </c>
      <c r="E18" s="8" t="n">
        <f aca="false">C18</f>
        <v>8400000</v>
      </c>
    </row>
    <row r="19" customFormat="false" ht="15" hidden="false" customHeight="false" outlineLevel="0" collapsed="false">
      <c r="A19" s="3" t="s">
        <v>58</v>
      </c>
      <c r="B19" s="6"/>
      <c r="C19" s="6"/>
      <c r="D19" s="17" t="n">
        <f aca="false">SUM(D7:D18)</f>
        <v>46522090.6066614</v>
      </c>
      <c r="E19" s="6"/>
    </row>
    <row r="20" customFormat="false" ht="15" hidden="false" customHeight="false" outlineLevel="0" collapsed="false">
      <c r="A20" s="13" t="s">
        <v>59</v>
      </c>
      <c r="B20" s="14"/>
      <c r="C20" s="14"/>
      <c r="D20" s="15" t="n">
        <f aca="false">SUM(D6:D18)</f>
        <v>36452090.6066614</v>
      </c>
      <c r="E20" s="14"/>
    </row>
    <row r="21" customFormat="false" ht="15" hidden="false" customHeight="false" outlineLevel="0" collapsed="false">
      <c r="A21" s="3" t="s">
        <v>60</v>
      </c>
      <c r="B21" s="6"/>
      <c r="C21" s="6"/>
      <c r="D21" s="19" t="n">
        <f aca="false">IRR(E6:E18)</f>
        <v>0.833583253900728</v>
      </c>
      <c r="E21" s="6"/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2026-10-03T21:52:42Z</dcterms:created>
  <dc:creator>openpyxl</dc:creator>
  <dc:description/>
  <dc:language>en-US</dc:language>
  <cp:lastModifiedBy/>
  <dcterms:modified xsi:type="dcterms:W3CDTF">2026-10-03T21:52:42Z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