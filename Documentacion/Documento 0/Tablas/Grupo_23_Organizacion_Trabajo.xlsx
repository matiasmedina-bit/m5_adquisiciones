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anización" sheetId="1" state="visible" r:id="rId3"/>
    <sheet name="Integra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<sst xmlns="http://schemas.openxmlformats.org/spreadsheetml/2006/main" count="71" uniqueCount="43">
  <si>
    <t xml:space="preserve">Organización del Trabajo — Responsables y verificadores por capítulo (Documento 0)</t>
  </si>
  <si>
    <t xml:space="preserve">Anexo G. Responsables precargados solo donde el Documento 0 acredita la autoría en la fuente de figuras/tablas. Celdas amarillas = por completar.</t>
  </si>
  <si>
    <t xml:space="preserve">N°</t>
  </si>
  <si>
    <t xml:space="preserve">Capítulo / sección</t>
  </si>
  <si>
    <t xml:space="preserve">Responsable</t>
  </si>
  <si>
    <t xml:space="preserve">Verificador</t>
  </si>
  <si>
    <t xml:space="preserve">Estado</t>
  </si>
  <si>
    <t xml:space="preserve">Portada e índices</t>
  </si>
  <si>
    <t xml:space="preserve">Terminado</t>
  </si>
  <si>
    <t xml:space="preserve">1. Introducción</t>
  </si>
  <si>
    <t xml:space="preserve">2. Contexto de la organización</t>
  </si>
  <si>
    <t xml:space="preserve">3. Análisis interno y externo (PESTEL, Porter, FODA, Cadena de Valor)</t>
  </si>
  <si>
    <t xml:space="preserve">4. Levantamiento de procesos inicial (BPMN Bizagi)</t>
  </si>
  <si>
    <t xml:space="preserve">Ortiz, Ariel</t>
  </si>
  <si>
    <t xml:space="preserve">5. Aplicación de herramienta cuantitativa (Volumen y Pareto)</t>
  </si>
  <si>
    <t xml:space="preserve">Medina, Matías</t>
  </si>
  <si>
    <t xml:space="preserve">6. Herramienta cualitativa — Diagrama de Ishikawa</t>
  </si>
  <si>
    <t xml:space="preserve">7. Descripción de la problemática</t>
  </si>
  <si>
    <t xml:space="preserve">8. Requerimientos funcionales (RF)</t>
  </si>
  <si>
    <t xml:space="preserve">9. Requerimientos no funcionales (RNF)</t>
  </si>
  <si>
    <t xml:space="preserve">10.1 Requerimientos de usuario — Estándar ESA</t>
  </si>
  <si>
    <t xml:space="preserve">López, Cristóbal</t>
  </si>
  <si>
    <t xml:space="preserve">10.2 Casos de uso extendidos</t>
  </si>
  <si>
    <t xml:space="preserve">10.3 Diagramas de casos de uso</t>
  </si>
  <si>
    <t xml:space="preserve">Fernández, Emiliano</t>
  </si>
  <si>
    <t xml:space="preserve">10.4 Matriz de requerimientos vs. casos de uso</t>
  </si>
  <si>
    <t xml:space="preserve">11. Objetivos</t>
  </si>
  <si>
    <t xml:space="preserve">12. Conclusión</t>
  </si>
  <si>
    <t xml:space="preserve">Referencias bibliográficas</t>
  </si>
  <si>
    <t xml:space="preserve">Anexo A — Currículum de los integrantes</t>
  </si>
  <si>
    <t xml:space="preserve">Anexo B — Correo de aceptación de requisitos</t>
  </si>
  <si>
    <t xml:space="preserve">Anexo C — Carta Gantt</t>
  </si>
  <si>
    <t xml:space="preserve">Anexo D — Estimación de costos y beneficios</t>
  </si>
  <si>
    <t xml:space="preserve">Anexo E — Dimensión técnica del proyecto</t>
  </si>
  <si>
    <t xml:space="preserve">Anexo F — Matriz de trazabilidad</t>
  </si>
  <si>
    <t xml:space="preserve">Anexo G — Organización del trabajo</t>
  </si>
  <si>
    <t xml:space="preserve">Integrantes Grupo 23 — carga por persona</t>
  </si>
  <si>
    <t xml:space="preserve">Integrante</t>
  </si>
  <si>
    <t xml:space="preserve">Secciones como responsable</t>
  </si>
  <si>
    <t xml:space="preserve">Secciones como verificador</t>
  </si>
  <si>
    <t xml:space="preserve">Lemp, Vicente</t>
  </si>
  <si>
    <t xml:space="preserve">Total asignado</t>
  </si>
  <si>
    <t xml:space="preserve">Profesor: Paulo Luis Francisco Quinsacara Jofré — Ingeniería de Software I, UNAB 2026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</si>
</sst>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6"/>
    <col collapsed="false" customWidth="true" hidden="false" outlineLevel="0" max="4" min="3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5" t="s">
        <v>7</v>
      </c>
      <c r="C5" s="6"/>
      <c r="D5" s="6"/>
      <c r="E5" s="7" t="s">
        <v>8</v>
      </c>
    </row>
    <row r="6" customFormat="false" ht="15" hidden="false" customHeight="false" outlineLevel="0" collapsed="false">
      <c r="A6" s="4" t="n">
        <v>2</v>
      </c>
      <c r="B6" s="5" t="s">
        <v>9</v>
      </c>
      <c r="C6" s="6"/>
      <c r="D6" s="6"/>
      <c r="E6" s="7" t="s">
        <v>8</v>
      </c>
    </row>
    <row r="7" customFormat="false" ht="15" hidden="false" customHeight="false" outlineLevel="0" collapsed="false">
      <c r="A7" s="4" t="n">
        <v>3</v>
      </c>
      <c r="B7" s="5" t="s">
        <v>10</v>
      </c>
      <c r="C7" s="6"/>
      <c r="D7" s="6"/>
      <c r="E7" s="7" t="s">
        <v>8</v>
      </c>
    </row>
    <row r="8" customFormat="false" ht="15" hidden="false" customHeight="false" outlineLevel="0" collapsed="false">
      <c r="A8" s="4" t="n">
        <v>4</v>
      </c>
      <c r="B8" s="5" t="s">
        <v>11</v>
      </c>
      <c r="C8" s="6"/>
      <c r="D8" s="6"/>
      <c r="E8" s="7" t="s">
        <v>8</v>
      </c>
    </row>
    <row r="9" customFormat="false" ht="15" hidden="false" customHeight="false" outlineLevel="0" collapsed="false">
      <c r="A9" s="4" t="n">
        <v>5</v>
      </c>
      <c r="B9" s="5" t="s">
        <v>12</v>
      </c>
      <c r="C9" s="7" t="s">
        <v>13</v>
      </c>
      <c r="D9" s="6"/>
      <c r="E9" s="7" t="s">
        <v>8</v>
      </c>
    </row>
    <row r="10" customFormat="false" ht="15" hidden="false" customHeight="false" outlineLevel="0" collapsed="false">
      <c r="A10" s="4" t="n">
        <v>6</v>
      </c>
      <c r="B10" s="5" t="s">
        <v>14</v>
      </c>
      <c r="C10" s="7" t="s">
        <v>15</v>
      </c>
      <c r="D10" s="6"/>
      <c r="E10" s="7" t="s">
        <v>8</v>
      </c>
    </row>
    <row r="11" customFormat="false" ht="15" hidden="false" customHeight="false" outlineLevel="0" collapsed="false">
      <c r="A11" s="4" t="n">
        <v>7</v>
      </c>
      <c r="B11" s="5" t="s">
        <v>16</v>
      </c>
      <c r="C11" s="7" t="s">
        <v>13</v>
      </c>
      <c r="D11" s="6"/>
      <c r="E11" s="7" t="s">
        <v>8</v>
      </c>
    </row>
    <row r="12" customFormat="false" ht="15" hidden="false" customHeight="false" outlineLevel="0" collapsed="false">
      <c r="A12" s="4" t="n">
        <v>8</v>
      </c>
      <c r="B12" s="5" t="s">
        <v>17</v>
      </c>
      <c r="C12" s="6"/>
      <c r="D12" s="6"/>
      <c r="E12" s="7" t="s">
        <v>8</v>
      </c>
    </row>
    <row r="13" customFormat="false" ht="15" hidden="false" customHeight="false" outlineLevel="0" collapsed="false">
      <c r="A13" s="4" t="n">
        <v>9</v>
      </c>
      <c r="B13" s="5" t="s">
        <v>18</v>
      </c>
      <c r="C13" s="6"/>
      <c r="D13" s="6"/>
      <c r="E13" s="7" t="s">
        <v>8</v>
      </c>
    </row>
    <row r="14" customFormat="false" ht="15" hidden="false" customHeight="false" outlineLevel="0" collapsed="false">
      <c r="A14" s="4" t="n">
        <v>10</v>
      </c>
      <c r="B14" s="5" t="s">
        <v>19</v>
      </c>
      <c r="C14" s="6"/>
      <c r="D14" s="6"/>
      <c r="E14" s="7" t="s">
        <v>8</v>
      </c>
    </row>
    <row r="15" customFormat="false" ht="15" hidden="false" customHeight="false" outlineLevel="0" collapsed="false">
      <c r="A15" s="4" t="n">
        <v>11</v>
      </c>
      <c r="B15" s="5" t="s">
        <v>20</v>
      </c>
      <c r="C15" s="7" t="s">
        <v>21</v>
      </c>
      <c r="D15" s="6"/>
      <c r="E15" s="7" t="s">
        <v>8</v>
      </c>
    </row>
    <row r="16" customFormat="false" ht="15" hidden="false" customHeight="false" outlineLevel="0" collapsed="false">
      <c r="A16" s="4" t="n">
        <v>12</v>
      </c>
      <c r="B16" s="5" t="s">
        <v>22</v>
      </c>
      <c r="C16" s="6"/>
      <c r="D16" s="6"/>
      <c r="E16" s="7" t="s">
        <v>8</v>
      </c>
    </row>
    <row r="17" customFormat="false" ht="15" hidden="false" customHeight="false" outlineLevel="0" collapsed="false">
      <c r="A17" s="4" t="n">
        <v>13</v>
      </c>
      <c r="B17" s="5" t="s">
        <v>23</v>
      </c>
      <c r="C17" s="7" t="s">
        <v>24</v>
      </c>
      <c r="D17" s="6"/>
      <c r="E17" s="7" t="s">
        <v>8</v>
      </c>
    </row>
    <row r="18" customFormat="false" ht="15" hidden="false" customHeight="false" outlineLevel="0" collapsed="false">
      <c r="A18" s="4" t="n">
        <v>14</v>
      </c>
      <c r="B18" s="5" t="s">
        <v>25</v>
      </c>
      <c r="C18" s="6"/>
      <c r="D18" s="6"/>
      <c r="E18" s="7" t="s">
        <v>8</v>
      </c>
    </row>
    <row r="19" customFormat="false" ht="15" hidden="false" customHeight="false" outlineLevel="0" collapsed="false">
      <c r="A19" s="4" t="n">
        <v>15</v>
      </c>
      <c r="B19" s="5" t="s">
        <v>26</v>
      </c>
      <c r="C19" s="6"/>
      <c r="D19" s="6"/>
      <c r="E19" s="7" t="s">
        <v>8</v>
      </c>
    </row>
    <row r="20" customFormat="false" ht="15" hidden="false" customHeight="false" outlineLevel="0" collapsed="false">
      <c r="A20" s="4" t="n">
        <v>16</v>
      </c>
      <c r="B20" s="5" t="s">
        <v>27</v>
      </c>
      <c r="C20" s="6"/>
      <c r="D20" s="6"/>
      <c r="E20" s="7" t="s">
        <v>8</v>
      </c>
    </row>
    <row r="21" customFormat="false" ht="15" hidden="false" customHeight="false" outlineLevel="0" collapsed="false">
      <c r="A21" s="4" t="n">
        <v>17</v>
      </c>
      <c r="B21" s="5" t="s">
        <v>28</v>
      </c>
      <c r="C21" s="6"/>
      <c r="D21" s="6"/>
      <c r="E21" s="7" t="s">
        <v>8</v>
      </c>
    </row>
    <row r="22" customFormat="false" ht="15" hidden="false" customHeight="false" outlineLevel="0" collapsed="false">
      <c r="A22" s="4" t="n">
        <v>18</v>
      </c>
      <c r="B22" s="5" t="s">
        <v>29</v>
      </c>
      <c r="C22" s="6"/>
      <c r="D22" s="6"/>
      <c r="E22" s="7" t="s">
        <v>8</v>
      </c>
    </row>
    <row r="23" customFormat="false" ht="15" hidden="false" customHeight="false" outlineLevel="0" collapsed="false">
      <c r="A23" s="4" t="n">
        <v>19</v>
      </c>
      <c r="B23" s="5" t="s">
        <v>30</v>
      </c>
      <c r="C23" s="6"/>
      <c r="D23" s="6"/>
      <c r="E23" s="7" t="s">
        <v>8</v>
      </c>
    </row>
    <row r="24" customFormat="false" ht="15" hidden="false" customHeight="false" outlineLevel="0" collapsed="false">
      <c r="A24" s="4" t="n">
        <v>20</v>
      </c>
      <c r="B24" s="5" t="s">
        <v>31</v>
      </c>
      <c r="C24" s="6"/>
      <c r="D24" s="6"/>
      <c r="E24" s="7" t="s">
        <v>8</v>
      </c>
    </row>
    <row r="25" customFormat="false" ht="15" hidden="false" customHeight="false" outlineLevel="0" collapsed="false">
      <c r="A25" s="4" t="n">
        <v>21</v>
      </c>
      <c r="B25" s="5" t="s">
        <v>32</v>
      </c>
      <c r="C25" s="6"/>
      <c r="D25" s="6"/>
      <c r="E25" s="7" t="s">
        <v>8</v>
      </c>
    </row>
    <row r="26" customFormat="false" ht="15" hidden="false" customHeight="false" outlineLevel="0" collapsed="false">
      <c r="A26" s="4" t="n">
        <v>22</v>
      </c>
      <c r="B26" s="5" t="s">
        <v>33</v>
      </c>
      <c r="C26" s="6"/>
      <c r="D26" s="6"/>
      <c r="E26" s="7" t="s">
        <v>8</v>
      </c>
    </row>
    <row r="27" customFormat="false" ht="15" hidden="false" customHeight="false" outlineLevel="0" collapsed="false">
      <c r="A27" s="4" t="n">
        <v>23</v>
      </c>
      <c r="B27" s="5" t="s">
        <v>34</v>
      </c>
      <c r="C27" s="6"/>
      <c r="D27" s="6"/>
      <c r="E27" s="7" t="s">
        <v>8</v>
      </c>
    </row>
    <row r="28" customFormat="false" ht="15" hidden="false" customHeight="false" outlineLevel="0" collapsed="false">
      <c r="A28" s="4" t="n">
        <v>24</v>
      </c>
      <c r="B28" s="5" t="s">
        <v>35</v>
      </c>
      <c r="C28" s="6"/>
      <c r="D28" s="6"/>
      <c r="E28" s="7" t="s">
        <v>8</v>
      </c>
    </row>
  </sheetData>
  <dataValidations count="2">
    <dataValidation allowBlank="true" errorStyle="stop" operator="between" showDropDown="false" showErrorMessage="false" showInputMessage="false" sqref="C5:D28" type="list">
      <formula1>Integrantes!$A$4:$A$8</formula1>
      <formula2>0</formula2>
    </dataValidation>
    <dataValidation allowBlank="true" errorStyle="stop" operator="between" showDropDown="false" showErrorMessage="false" showInputMessage="false" sqref="E5:E28" type="list">
      <formula1>"Terminado,En revisión,Pendiente"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7.35" hidden="false" customHeight="false" outlineLevel="0" collapsed="false">
      <c r="A1" s="1" t="s">
        <v>36</v>
      </c>
    </row>
    <row r="3" customFormat="false" ht="15" hidden="false" customHeight="false" outlineLevel="0" collapsed="false">
      <c r="A3" s="3" t="s">
        <v>37</v>
      </c>
      <c r="B3" s="3" t="s">
        <v>38</v>
      </c>
      <c r="C3" s="3" t="s">
        <v>39</v>
      </c>
    </row>
    <row r="4" customFormat="false" ht="15" hidden="false" customHeight="false" outlineLevel="0" collapsed="false">
      <c r="A4" s="8" t="s">
        <v>24</v>
      </c>
      <c r="B4" s="4" t="n">
        <f aca="false">COUNTIF(Organización!$C$5:$C$28,A4)</f>
        <v>1</v>
      </c>
      <c r="C4" s="4" t="n">
        <f aca="false">COUNTIF(Organización!$D$5:$D$28,A4)</f>
        <v>0</v>
      </c>
    </row>
    <row r="5" customFormat="false" ht="15" hidden="false" customHeight="false" outlineLevel="0" collapsed="false">
      <c r="A5" s="8" t="s">
        <v>40</v>
      </c>
      <c r="B5" s="4" t="n">
        <f aca="false">COUNTIF(Organización!$C$5:$C$28,A5)</f>
        <v>0</v>
      </c>
      <c r="C5" s="4" t="n">
        <f aca="false">COUNTIF(Organización!$D$5:$D$28,A5)</f>
        <v>0</v>
      </c>
    </row>
    <row r="6" customFormat="false" ht="15" hidden="false" customHeight="false" outlineLevel="0" collapsed="false">
      <c r="A6" s="8" t="s">
        <v>21</v>
      </c>
      <c r="B6" s="4" t="n">
        <f aca="false">COUNTIF(Organización!$C$5:$C$28,A6)</f>
        <v>1</v>
      </c>
      <c r="C6" s="4" t="n">
        <f aca="false">COUNTIF(Organización!$D$5:$D$28,A6)</f>
        <v>0</v>
      </c>
    </row>
    <row r="7" customFormat="false" ht="15" hidden="false" customHeight="false" outlineLevel="0" collapsed="false">
      <c r="A7" s="8" t="s">
        <v>15</v>
      </c>
      <c r="B7" s="4" t="n">
        <f aca="false">COUNTIF(Organización!$C$5:$C$28,A7)</f>
        <v>1</v>
      </c>
      <c r="C7" s="4" t="n">
        <f aca="false">COUNTIF(Organización!$D$5:$D$28,A7)</f>
        <v>0</v>
      </c>
    </row>
    <row r="8" customFormat="false" ht="15" hidden="false" customHeight="false" outlineLevel="0" collapsed="false">
      <c r="A8" s="8" t="s">
        <v>13</v>
      </c>
      <c r="B8" s="4" t="n">
        <f aca="false">COUNTIF(Organización!$C$5:$C$28,A8)</f>
        <v>2</v>
      </c>
      <c r="C8" s="4" t="n">
        <f aca="false">COUNTIF(Organización!$D$5:$D$28,A8)</f>
        <v>0</v>
      </c>
    </row>
    <row r="9" customFormat="false" ht="15" hidden="false" customHeight="false" outlineLevel="0" collapsed="false">
      <c r="A9" s="8" t="s">
        <v>41</v>
      </c>
      <c r="B9" s="8" t="n">
        <f aca="false">SUM(B4:B8)</f>
        <v>5</v>
      </c>
      <c r="C9" s="8" t="n">
        <f aca="false">SUM(C4:C8)</f>
        <v>0</v>
      </c>
    </row>
    <row r="11" customFormat="false" ht="15" hidden="false" customHeight="false" outlineLevel="0" collapsed="false">
      <c r="A11" s="9" t="s">
        <v>42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2026-10-03T21:52:42Z</dcterms:created>
  <dc:creator>openpyxl</dc:creator>
  <dc:description/>
  <dc:language>en-US</dc:language>
  <cp:lastModifiedBy/>
  <dcterms:modified xsi:type="dcterms:W3CDTF">2026-10-03T21:52:42Z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