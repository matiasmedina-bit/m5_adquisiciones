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lumen operativo" sheetId="1" state="visible" r:id="rId3"/>
    <sheet name="Paret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<sst xmlns="http://schemas.openxmlformats.org/spreadsheetml/2006/main" count="30" uniqueCount="30">
  <si>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Volumen operativo anual estimado — Constructora M5 SpA</t>
  </si>
  <si>
    <t xml:space="preserve">Figura 5.1 del Documento 0. Fuente: entrevista de levantamiento con la Gerencia de M5, 2026. Celdas azules = datos de entrada.</t>
  </si>
  <si>
    <t xml:space="preserve">Categorías</t>
  </si>
  <si>
    <t xml:space="preserve">Cantidad</t>
  </si>
  <si>
    <t xml:space="preserve">Licitaciones totales</t>
  </si>
  <si>
    <t xml:space="preserve">Licitaciones adjudicadas</t>
  </si>
  <si>
    <t xml:space="preserve">Proyectos en ejecución</t>
  </si>
  <si>
    <t xml:space="preserve">Tasa de adjudicación</t>
  </si>
  <si>
    <t xml:space="preserve">Proyectos en ejecución / adjudicados</t>
  </si>
  <si>
    <t xml:space="preserve">Diagrama de Pareto — Causas de pérdida de materiales</t>
  </si>
  <si>
    <t xml:space="preserve">Figura 5.2 del Documento 0. Frecuencias estimadas declaradas por la Gerencia de M5 (sección 5.2). Celdas azules = datos de entrada.</t>
  </si>
  <si>
    <t xml:space="preserve">Causa</t>
  </si>
  <si>
    <t xml:space="preserve">Detalle</t>
  </si>
  <si>
    <t xml:space="preserve">Frecuencia</t>
  </si>
  <si>
    <t xml:space="preserve">% individual</t>
  </si>
  <si>
    <t xml:space="preserve">% Acumulado</t>
  </si>
  <si>
    <t xml:space="preserve">Zona</t>
  </si>
  <si>
    <t xml:space="preserve">Diferencias metraje</t>
  </si>
  <si>
    <t xml:space="preserve">Diferencias entre metraje licitado y metraje real en terreno</t>
  </si>
  <si>
    <t xml:space="preserve">Robo hormiga</t>
  </si>
  <si>
    <t xml:space="preserve">Robo hormiga en obra</t>
  </si>
  <si>
    <t xml:space="preserve">Quiebres/roturas</t>
  </si>
  <si>
    <t xml:space="preserve">Quiebres y roturas de material</t>
  </si>
  <si>
    <t xml:space="preserve">Sobrecompras</t>
  </si>
  <si>
    <t xml:space="preserve">Sobrecompras por solicitudes duplicadas</t>
  </si>
  <si>
    <t xml:space="preserve">Sobrantes sin registro</t>
  </si>
  <si>
    <t xml:space="preserve">Materiales sobrantes sin registro</t>
  </si>
  <si>
    <t xml:space="preserve">Errores cotización</t>
  </si>
  <si>
    <t xml:space="preserve">Errores de cotización por falta de base de datos de proveedores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</si>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</sst>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%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Volumen operativo anual estimado de Constructora M5 SpA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'Volumen operativo'!B4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'Volumen operativo'!$A$5:$A$7</c:f>
              <c:strCache>
                <c:ptCount val="3"/>
                <c:pt idx="0">
                  <c:v>Licitaciones totales</c:v>
                </c:pt>
                <c:pt idx="1">
                  <c:v>Licitaciones adjudicadas</c:v>
                </c:pt>
                <c:pt idx="2">
                  <c:v>Proyectos en ejecución</c:v>
                </c:pt>
              </c:strCache>
            </c:strRef>
          </c:cat>
          <c:val>
            <c:numRef>
              <c:f>'Volumen operativo'!$B$5:$B$7</c:f>
              <c:numCache>
                <c:formatCode>0</c:formatCode>
                <c:ptCount val="3"/>
                <c:pt idx="0">
                  <c:v>40</c:v>
                </c:pt>
                <c:pt idx="1">
                  <c:v>10</c:v>
                </c:pt>
                <c:pt idx="2">
                  <c:v>5</c:v>
                </c:pt>
              </c:numCache>
            </c:numRef>
          </c:val>
        </c:ser>
        <c:gapWidth val="150"/>
        <c:overlap val="0"/>
        <c:axId val="75623096"/>
        <c:axId val="22832512"/>
      </c:barChart>
      <c:catAx>
        <c:axId val="756230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Categorías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32512"/>
        <c:crosses val="autoZero"/>
        <c:auto val="1"/>
        <c:lblAlgn val="ctr"/>
        <c:lblOffset val="100"/>
        <c:noMultiLvlLbl val="0"/>
      </c:catAx>
      <c:valAx>
        <c:axId val="22832512"/>
        <c:scaling>
          <c:orientation val="minMax"/>
          <c:max val="5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Cantidad de proyectos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23096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de Pareto de causas de pérdida de materiales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Pareto!C4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Pareto!$A$5:$A$10</c:f>
              <c:strCache>
                <c:ptCount val="6"/>
                <c:pt idx="0">
                  <c:v>Diferencias metraje</c:v>
                </c:pt>
                <c:pt idx="1">
                  <c:v>Robo hormiga</c:v>
                </c:pt>
                <c:pt idx="2">
                  <c:v>Quiebres/roturas</c:v>
                </c:pt>
                <c:pt idx="3">
                  <c:v>Sobrecompras</c:v>
                </c:pt>
                <c:pt idx="4">
                  <c:v>Sobrantes sin registro</c:v>
                </c:pt>
                <c:pt idx="5">
                  <c:v>Errores cotización</c:v>
                </c:pt>
              </c:strCache>
            </c:strRef>
          </c:cat>
          <c:val>
            <c:numRef>
              <c:f>Pareto!$C$5:$C$10</c:f>
              <c:numCache>
                <c:formatCode>0</c:formatCode>
                <c:ptCount val="6"/>
                <c:pt idx="0">
                  <c:v>28</c:v>
                </c:pt>
                <c:pt idx="1">
                  <c:v>25</c:v>
                </c:pt>
                <c:pt idx="2">
                  <c:v>20</c:v>
                </c:pt>
                <c:pt idx="3">
                  <c:v>10</c:v>
                </c:pt>
                <c:pt idx="4">
                  <c:v>7</c:v>
                </c:pt>
                <c:pt idx="5">
                  <c:v>6</c:v>
                </c:pt>
              </c:numCache>
            </c:numRef>
          </c:val>
        </c:ser>
        <c:gapWidth val="150"/>
        <c:overlap val="0"/>
        <c:axId val="83847291"/>
        <c:axId val="54947431"/>
      </c:barChart>
      <c:lineChart>
        <c:grouping val="standard"/>
        <c:varyColors val="0"/>
        <c:ser>
          <c:idx val="1"/>
          <c:order val="1"/>
          <c:tx>
            <c:strRef>
              <c:f>Pareto!E4</c:f>
              <c:strCache>
                <c:ptCount val="1"/>
                <c:pt idx="0">
                  <c:v>% Acumulado</c:v>
                </c:pt>
              </c:strCache>
            </c:strRef>
          </c:tx>
          <c:spPr>
            <a:solidFill>
              <a:srgbClr val="ed7d31"/>
            </a:solidFill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Pareto!$A$5:$A$10</c:f>
              <c:strCache>
                <c:ptCount val="6"/>
                <c:pt idx="0">
                  <c:v>Diferencias metraje</c:v>
                </c:pt>
                <c:pt idx="1">
                  <c:v>Robo hormiga</c:v>
                </c:pt>
                <c:pt idx="2">
                  <c:v>Quiebres/roturas</c:v>
                </c:pt>
                <c:pt idx="3">
                  <c:v>Sobrecompras</c:v>
                </c:pt>
                <c:pt idx="4">
                  <c:v>Sobrantes sin registro</c:v>
                </c:pt>
                <c:pt idx="5">
                  <c:v>Errores cotización</c:v>
                </c:pt>
              </c:strCache>
            </c:strRef>
          </c:cat>
          <c:val>
            <c:numRef>
              <c:f>Pareto!$E$5:$E$10</c:f>
              <c:numCache>
                <c:formatCode>0.0%</c:formatCode>
                <c:ptCount val="6"/>
                <c:pt idx="0">
                  <c:v>0.291666666666667</c:v>
                </c:pt>
                <c:pt idx="1">
                  <c:v>0.552083333333333</c:v>
                </c:pt>
                <c:pt idx="2">
                  <c:v>0.760416666666667</c:v>
                </c:pt>
                <c:pt idx="3">
                  <c:v>0.864583333333333</c:v>
                </c:pt>
                <c:pt idx="4">
                  <c:v>0.9375</c:v>
                </c:pt>
                <c:pt idx="5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717550"/>
        <c:axId val="21049660"/>
      </c:lineChart>
      <c:catAx>
        <c:axId val="838472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47431"/>
        <c:crosses val="autoZero"/>
        <c:auto val="1"/>
        <c:lblAlgn val="ctr"/>
        <c:lblOffset val="100"/>
        <c:noMultiLvlLbl val="0"/>
      </c:catAx>
      <c:valAx>
        <c:axId val="5494743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Frecuencia de causas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47291"/>
        <c:crosses val="autoZero"/>
        <c:crossBetween val="between"/>
      </c:valAx>
      <c:catAx>
        <c:axId val="8371755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49660"/>
        <c:crosses val="autoZero"/>
        <c:auto val="1"/>
        <c:lblAlgn val="ctr"/>
        <c:lblOffset val="100"/>
        <c:noMultiLvlLbl val="0"/>
      </c:catAx>
      <c:valAx>
        <c:axId val="21049660"/>
        <c:scaling>
          <c:orientation val="minMax"/>
          <c:max val="1.2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acumulado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1755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160920</xdr:rowOff>
    </xdr:from>
    <xdr:to>
      <xdr:col>13</xdr:col>
      <xdr:colOff>4680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4276800" y="571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48240</xdr:rowOff>
    </xdr:from>
    <xdr:to>
      <xdr:col>4</xdr:col>
      <xdr:colOff>80640</xdr:colOff>
      <xdr:row>31</xdr:row>
      <xdr:rowOff>28440</xdr:rowOff>
    </xdr:to>
    <xdr:graphicFrame>
      <xdr:nvGraphicFramePr>
        <xdr:cNvPr id="1" name="Chart 1"/>
        <xdr:cNvGraphicFramePr/>
      </xdr:nvGraphicFramePr>
      <xdr:xfrm>
        <a:off x="0" y="24764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v>40</v>
      </c>
    </row>
    <row r="6" customFormat="false" ht="15" hidden="false" customHeight="false" outlineLevel="0" collapsed="false">
      <c r="A6" s="4" t="s">
        <v>5</v>
      </c>
      <c r="B6" s="5" t="n">
        <v>10</v>
      </c>
    </row>
    <row r="7" customFormat="false" ht="15" hidden="false" customHeight="false" outlineLevel="0" collapsed="false">
      <c r="A7" s="4" t="s">
        <v>6</v>
      </c>
      <c r="B7" s="5" t="n">
        <v>5</v>
      </c>
    </row>
    <row r="9" customFormat="false" ht="15" hidden="false" customHeight="false" outlineLevel="0" collapsed="false">
      <c r="A9" s="6" t="s">
        <v>7</v>
      </c>
      <c r="B9" s="7" t="n">
        <f aca="false">B6/B5</f>
        <v>0.25</v>
      </c>
    </row>
    <row r="10" customFormat="false" ht="15" hidden="false" customHeight="false" outlineLevel="0" collapsed="false">
      <c r="A10" s="6" t="s">
        <v>8</v>
      </c>
      <c r="B10" s="7" t="n">
        <f aca="false">B7/B6</f>
        <v>0.5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1" t="s">
        <v>9</v>
      </c>
    </row>
    <row r="2" customFormat="false" ht="15" hidden="false" customHeight="false" outlineLevel="0" collapsed="false">
      <c r="A2" s="2" t="s">
        <v>10</v>
      </c>
    </row>
    <row r="4" customFormat="false" ht="15" hidden="false" customHeight="false" outlineLevel="0" collapsed="false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</row>
    <row r="5" customFormat="false" ht="15" hidden="false" customHeight="false" outlineLevel="0" collapsed="false">
      <c r="A5" s="4" t="s">
        <v>17</v>
      </c>
      <c r="B5" s="4" t="s">
        <v>18</v>
      </c>
      <c r="C5" s="5" t="n">
        <v>28</v>
      </c>
      <c r="D5" s="8" t="n">
        <f aca="false">C5/$C$11</f>
        <v>0.291666666666667</v>
      </c>
      <c r="E5" s="8" t="n">
        <f aca="false">SUM($C$5:C5)/$C$11</f>
        <v>0.291666666666667</v>
      </c>
      <c r="F5" s="4" t="str">
        <f aca="false">IF(E5&lt;=0.8,"Vital (≈80%)","Trivial")</f>
        <v>Vital (≈80%)</v>
      </c>
    </row>
    <row r="6" customFormat="false" ht="15" hidden="false" customHeight="false" outlineLevel="0" collapsed="false">
      <c r="A6" s="4" t="s">
        <v>19</v>
      </c>
      <c r="B6" s="4" t="s">
        <v>20</v>
      </c>
      <c r="C6" s="5" t="n">
        <v>25</v>
      </c>
      <c r="D6" s="8" t="n">
        <f aca="false">C6/$C$11</f>
        <v>0.260416666666667</v>
      </c>
      <c r="E6" s="8" t="n">
        <f aca="false">SUM($C$5:C6)/$C$11</f>
        <v>0.552083333333333</v>
      </c>
      <c r="F6" s="4" t="str">
        <f aca="false">IF(E6&lt;=0.8,"Vital (≈80%)","Trivial")</f>
        <v>Vital (≈80%)</v>
      </c>
    </row>
    <row r="7" customFormat="false" ht="15" hidden="false" customHeight="false" outlineLevel="0" collapsed="false">
      <c r="A7" s="4" t="s">
        <v>21</v>
      </c>
      <c r="B7" s="4" t="s">
        <v>22</v>
      </c>
      <c r="C7" s="5" t="n">
        <v>20</v>
      </c>
      <c r="D7" s="8" t="n">
        <f aca="false">C7/$C$11</f>
        <v>0.208333333333333</v>
      </c>
      <c r="E7" s="8" t="n">
        <f aca="false">SUM($C$5:C7)/$C$11</f>
        <v>0.760416666666667</v>
      </c>
      <c r="F7" s="4" t="str">
        <f aca="false">IF(E7&lt;=0.8,"Vital (≈80%)","Trivial")</f>
        <v>Vital (≈80%)</v>
      </c>
    </row>
    <row r="8" customFormat="false" ht="15" hidden="false" customHeight="false" outlineLevel="0" collapsed="false">
      <c r="A8" s="4" t="s">
        <v>23</v>
      </c>
      <c r="B8" s="4" t="s">
        <v>24</v>
      </c>
      <c r="C8" s="5" t="n">
        <v>10</v>
      </c>
      <c r="D8" s="8" t="n">
        <f aca="false">C8/$C$11</f>
        <v>0.104166666666667</v>
      </c>
      <c r="E8" s="8" t="n">
        <f aca="false">SUM($C$5:C8)/$C$11</f>
        <v>0.864583333333333</v>
      </c>
      <c r="F8" s="4" t="str">
        <f aca="false">IF(E8&lt;=0.8,"Vital (≈80%)","Trivial")</f>
        <v>Trivial</v>
      </c>
    </row>
    <row r="9" customFormat="false" ht="15" hidden="false" customHeight="false" outlineLevel="0" collapsed="false">
      <c r="A9" s="4" t="s">
        <v>25</v>
      </c>
      <c r="B9" s="4" t="s">
        <v>26</v>
      </c>
      <c r="C9" s="5" t="n">
        <v>7</v>
      </c>
      <c r="D9" s="8" t="n">
        <f aca="false">C9/$C$11</f>
        <v>0.0729166666666667</v>
      </c>
      <c r="E9" s="8" t="n">
        <f aca="false">SUM($C$5:C9)/$C$11</f>
        <v>0.9375</v>
      </c>
      <c r="F9" s="4" t="str">
        <f aca="false">IF(E9&lt;=0.8,"Vital (≈80%)","Trivial")</f>
        <v>Trivial</v>
      </c>
    </row>
    <row r="10" customFormat="false" ht="23.85" hidden="false" customHeight="false" outlineLevel="0" collapsed="false">
      <c r="A10" s="4" t="s">
        <v>27</v>
      </c>
      <c r="B10" s="4" t="s">
        <v>28</v>
      </c>
      <c r="C10" s="5" t="n">
        <v>6</v>
      </c>
      <c r="D10" s="8" t="n">
        <f aca="false">C10/$C$11</f>
        <v>0.0625</v>
      </c>
      <c r="E10" s="8" t="n">
        <f aca="false">SUM($C$5:C10)/$C$11</f>
        <v>1</v>
      </c>
      <c r="F10" s="4" t="str">
        <f aca="false">IF(E10&lt;=0.8,"Vital (≈80%)","Trivial")</f>
        <v>Trivial</v>
      </c>
    </row>
    <row r="11" customFormat="false" ht="15" hidden="false" customHeight="false" outlineLevel="0" collapsed="false">
      <c r="A11" s="6" t="s">
        <v>29</v>
      </c>
      <c r="B11" s="4"/>
      <c r="C11" s="9" t="n">
        <f aca="false">SUM(C5:C10)</f>
        <v>96</v>
      </c>
      <c r="D11" s="7" t="n">
        <f aca="false">SUM(D5:D10)</f>
        <v>1</v>
      </c>
      <c r="E11" s="4"/>
      <c r="F11" s="4"/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2026-10-03T21:52:42Z</dcterms:created>
  <dc:creator>openpyxl</dc:creator>
  <dc:description/>
  <dc:language>en-US</dc:language>
  <cp:lastModifiedBy/>
  <dcterms:modified xsi:type="dcterms:W3CDTF">2026-10-03T18:52:45Z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