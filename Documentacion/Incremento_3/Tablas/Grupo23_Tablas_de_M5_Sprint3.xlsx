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0" windowWidth="19200" windowHeight="11260" tabRatio="600" firstSheet="0" activeTab="2" autoFilterDateGrouping="1"/>
  </bookViews>
  <sheets>
    <sheet xmlns:r="http://schemas.openxmlformats.org/officeDocument/2006/relationships" name="Planificación" sheetId="1" state="visible" r:id="rId1"/>
    <sheet xmlns:r="http://schemas.openxmlformats.org/officeDocument/2006/relationships" name="Gráficas Incremento 2" sheetId="2" state="visible" r:id="rId2"/>
    <sheet xmlns:r="http://schemas.openxmlformats.org/officeDocument/2006/relationships" name="Gráficas Incremento 3" sheetId="3" state="visible" r:id="rId3"/>
    <sheet xmlns:r="http://schemas.openxmlformats.org/officeDocument/2006/relationships" name="Tabla de Esfuerzo" sheetId="4" state="visible" r:id="rId4"/>
    <sheet xmlns:r="http://schemas.openxmlformats.org/officeDocument/2006/relationships" name="Gráficas acumulada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Calibri"/>
      <color theme="1"/>
      <sz val="11"/>
      <scheme val="minor"/>
    </font>
    <font>
      <name val="Arial"/>
      <b val="1"/>
      <color rgb="FF1F3864"/>
      <sz val="12"/>
    </font>
    <font>
      <name val="Arial"/>
      <color rgb="FF595959"/>
      <sz val="9"/>
    </font>
    <font>
      <name val="Arial"/>
      <b val="1"/>
      <color rgb="FFFFFFFF"/>
      <sz val="9"/>
    </font>
    <font>
      <name val="Arial"/>
      <b val="1"/>
      <color rgb="FFFFFFFF"/>
      <sz val="8"/>
    </font>
    <font>
      <name val="Arial"/>
      <b val="1"/>
      <color rgb="FFFFFFFF"/>
      <sz val="10"/>
    </font>
    <font>
      <name val="Arial"/>
      <b val="1"/>
      <color rgb="FF7030A0"/>
      <sz val="9"/>
    </font>
    <font>
      <name val="Arial"/>
      <color rgb="FF000000"/>
      <sz val="9"/>
    </font>
    <font>
      <name val="Arial"/>
      <color rgb="FF7030A0"/>
      <sz val="9"/>
    </font>
    <font>
      <name val="Arial"/>
      <b val="1"/>
      <color rgb="FF1F3864"/>
      <sz val="8"/>
    </font>
    <font>
      <name val="Arial"/>
      <color rgb="FF000000"/>
      <sz val="10"/>
    </font>
    <font>
      <name val="Arial"/>
      <b val="1"/>
      <color rgb="FF7030A0"/>
      <sz val="8"/>
    </font>
    <font>
      <name val="Arial"/>
      <color rgb="FF7030A0"/>
      <sz val="8"/>
    </font>
    <font>
      <name val="Arial"/>
      <color rgb="FF1F3864"/>
      <sz val="8"/>
    </font>
    <font>
      <name val="Arial"/>
      <color rgb="FF1F3864"/>
      <sz val="9"/>
    </font>
    <font>
      <name val="Arial"/>
      <color rgb="FF000000"/>
      <sz val="8"/>
    </font>
    <font>
      <name val="Arial"/>
      <b val="1"/>
      <color rgb="FF1F3864"/>
      <sz val="9"/>
    </font>
    <font>
      <name val="Arial"/>
      <i val="1"/>
      <color theme="1"/>
      <sz val="8"/>
    </font>
    <font>
      <name val="Arial"/>
      <color rgb="FF0F766E"/>
      <sz val="9"/>
    </font>
    <font>
      <name val="Arial"/>
      <b val="1"/>
      <color rgb="FF0F766E"/>
      <sz val="9"/>
    </font>
    <font>
      <name val="Arial"/>
      <color rgb="FF0F766E"/>
      <sz val="10"/>
    </font>
    <font>
      <name val="Calibri"/>
      <b val="1"/>
      <color rgb="FF0F766E"/>
      <sz val="11"/>
    </font>
    <font>
      <name val="Calibri"/>
      <color theme="1"/>
      <sz val="11"/>
    </font>
    <font>
      <name val="Arial"/>
      <color rgb="FF0F766E"/>
      <sz val="8"/>
    </font>
  </fonts>
  <fills count="11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7030A0"/>
        <bgColor rgb="FF7030A0"/>
      </patternFill>
    </fill>
    <fill>
      <patternFill patternType="solid">
        <fgColor rgb="FFF3EAFA"/>
        <bgColor rgb="FFF3EAFA"/>
      </patternFill>
    </fill>
    <fill>
      <patternFill patternType="solid">
        <fgColor rgb="FFFFF2CC"/>
        <bgColor rgb="FFFFF2CC"/>
      </patternFill>
    </fill>
    <fill>
      <patternFill patternType="solid">
        <fgColor rgb="FFEAF0F9"/>
        <bgColor rgb="FFEAF0F9"/>
      </patternFill>
    </fill>
    <fill>
      <patternFill patternType="solid">
        <fgColor rgb="FF404040"/>
        <bgColor rgb="FF404040"/>
      </patternFill>
    </fill>
    <fill>
      <patternFill patternType="solid">
        <fgColor rgb="FF0F766E"/>
      </patternFill>
    </fill>
    <fill>
      <patternFill patternType="solid">
        <fgColor rgb="FFE0F2F1"/>
      </patternFill>
    </fill>
    <fill>
      <patternFill patternType="solid">
        <fgColor theme="6" tint="0.5999938962981048"/>
        <bgColor rgb="FFEAF0F9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17" fillId="0" borderId="0" pivotButton="0" quotePrefix="0" xfId="0"/>
    <xf numFmtId="0" fontId="13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21" fillId="9" borderId="1" applyAlignment="1" pivotButton="0" quotePrefix="0" xfId="0">
      <alignment horizontal="center" vertical="center"/>
    </xf>
    <xf numFmtId="0" fontId="20" fillId="9" borderId="1" applyAlignment="1" pivotButton="0" quotePrefix="0" xfId="0">
      <alignment horizontal="left" vertical="center"/>
    </xf>
    <xf numFmtId="0" fontId="22" fillId="0" borderId="3" pivotButton="0" quotePrefix="0" xfId="0"/>
    <xf numFmtId="0" fontId="7" fillId="0" borderId="0" pivotButton="0" quotePrefix="0" xfId="0"/>
    <xf numFmtId="0" fontId="22" fillId="0" borderId="0" pivotButton="0" quotePrefix="0" xfId="0"/>
    <xf numFmtId="0" fontId="23" fillId="0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0" fillId="0" borderId="3" pivotButton="0" quotePrefix="0" xfId="0"/>
    <xf numFmtId="0" fontId="6" fillId="4" borderId="1" applyAlignment="1" pivotButton="0" quotePrefix="0" xfId="0">
      <alignment horizontal="left" vertical="center"/>
    </xf>
    <xf numFmtId="0" fontId="0" fillId="0" borderId="4" pivotButton="0" quotePrefix="0" xfId="0"/>
    <xf numFmtId="0" fontId="5" fillId="3" borderId="2" applyAlignment="1" pivotButton="0" quotePrefix="0" xfId="0">
      <alignment horizontal="left" vertical="center"/>
    </xf>
    <xf numFmtId="0" fontId="5" fillId="2" borderId="2" applyAlignment="1" pivotButton="0" quotePrefix="0" xfId="0">
      <alignment horizontal="left" vertical="center"/>
    </xf>
    <xf numFmtId="0" fontId="19" fillId="9" borderId="1" applyAlignment="1" pivotButton="0" quotePrefix="0" xfId="0">
      <alignment horizontal="left" vertical="center"/>
    </xf>
    <xf numFmtId="0" fontId="16" fillId="6" borderId="1" applyAlignment="1" pivotButton="0" quotePrefix="0" xfId="0">
      <alignment horizontal="left" vertical="center"/>
    </xf>
    <xf numFmtId="0" fontId="5" fillId="8" borderId="2" applyAlignment="1" pivotButton="0" quotePrefix="0" xfId="0">
      <alignment horizontal="left" vertical="center"/>
    </xf>
    <xf numFmtId="0" fontId="7" fillId="10" borderId="1" applyAlignment="1" pivotButton="0" quotePrefix="0" xfId="0">
      <alignment horizontal="center" vertical="center"/>
    </xf>
    <xf numFmtId="1" fontId="7" fillId="4" borderId="1" applyAlignment="1" pivotButton="0" quotePrefix="0" xfId="0">
      <alignment horizontal="center" vertical="center"/>
    </xf>
    <xf numFmtId="1" fontId="7" fillId="6" borderId="1" applyAlignment="1" pivotButton="0" quotePrefix="0" xfId="0">
      <alignment horizontal="center" vertical="center"/>
    </xf>
    <xf numFmtId="1" fontId="7" fillId="10" borderId="1" applyAlignment="1" pivotButton="0" quotePrefix="0" xfId="0">
      <alignment horizontal="center" vertical="center"/>
    </xf>
  </cellXfs>
  <cellStyles count="1">
    <cellStyle name="Normal" xfId="0" builtinId="0"/>
  </cellStyles>
  <dxfs count="6">
    <dxf>
      <fill>
        <patternFill patternType="solid">
          <fgColor rgb="FFFCE4D6"/>
          <bgColor rgb="FFFCE4D6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2F2F2"/>
          <bgColor rgb="FFF2F2F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s-CL" sz="1800" b="1" i="0">
                <a:solidFill>
                  <a:srgbClr val="000000"/>
                </a:solidFill>
                <a:latin typeface="Calibri"/>
              </a:rPr>
              <a:t>Burn-Down del Incremento 2 — esfuerzo pendiente</a:t>
            </a:r>
          </a:p>
        </rich>
      </tx>
      <overlay val="0"/>
    </title>
    <plotArea>
      <layout/>
      <lineChart>
        <grouping val="standard"/>
        <varyColors val="1"/>
        <ser>
          <idx val="0"/>
          <order val="0"/>
          <tx>
            <v>Pendiente real (HH)</v>
          </tx>
          <spPr>
            <a:ln xmlns:a="http://schemas.openxmlformats.org/drawingml/2006/main" w="19050" cmpd="sng">
              <a:solidFill>
                <a:srgbClr val="4A7EB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'Gráficas Incremento 2'!$A$5:$A$26</f>
              <numCache>
                <formatCode>General</formatCode>
                <ptCount val="22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</numCache>
            </numRef>
          </cat>
          <val>
            <numRef>
              <f>'Gráficas Incremento 2'!$C$5:$C$26</f>
              <numCache>
                <formatCode>General</formatCode>
                <ptCount val="22"/>
                <pt idx="0">
                  <v>370</v>
                </pt>
                <pt idx="1">
                  <v>364</v>
                </pt>
                <pt idx="2">
                  <v>353</v>
                </pt>
                <pt idx="3">
                  <v>343</v>
                </pt>
                <pt idx="4">
                  <v>328</v>
                </pt>
                <pt idx="5">
                  <v>313</v>
                </pt>
                <pt idx="6">
                  <v>302</v>
                </pt>
                <pt idx="7">
                  <v>292</v>
                </pt>
                <pt idx="8">
                  <v>281</v>
                </pt>
                <pt idx="9">
                  <v>260</v>
                </pt>
                <pt idx="10">
                  <v>235</v>
                </pt>
                <pt idx="11">
                  <v>208</v>
                </pt>
                <pt idx="12">
                  <v>180</v>
                </pt>
                <pt idx="13">
                  <v>156</v>
                </pt>
                <pt idx="14">
                  <v>132</v>
                </pt>
                <pt idx="15">
                  <v>109</v>
                </pt>
                <pt idx="16">
                  <v>88</v>
                </pt>
                <pt idx="17">
                  <v>63</v>
                </pt>
                <pt idx="18">
                  <v>39</v>
                </pt>
                <pt idx="19">
                  <v>20</v>
                </pt>
                <pt idx="20">
                  <v>4</v>
                </pt>
                <pt idx="21">
                  <v>0</v>
                </pt>
              </numCache>
            </numRef>
          </val>
          <smooth val="1"/>
        </ser>
        <ser>
          <idx val="1"/>
          <order val="1"/>
          <tx>
            <v>Pendiente planificado (HH)</v>
          </tx>
          <spPr>
            <a:ln xmlns:a="http://schemas.openxmlformats.org/drawingml/2006/main" w="19050" cmpd="sng">
              <a:solidFill>
                <a:srgbClr val="BE4B4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'Gráficas Incremento 2'!$A$5:$A$26</f>
              <numCache>
                <formatCode>General</formatCode>
                <ptCount val="22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</numCache>
            </numRef>
          </cat>
          <val>
            <numRef>
              <f>'Gráficas Incremento 2'!$D$5:$D$26</f>
              <numCache>
                <formatCode>General</formatCode>
                <ptCount val="22"/>
                <pt idx="0">
                  <v>370</v>
                </pt>
                <pt idx="1">
                  <v>352</v>
                </pt>
                <pt idx="2">
                  <v>335</v>
                </pt>
                <pt idx="3">
                  <v>317</v>
                </pt>
                <pt idx="4">
                  <v>300</v>
                </pt>
                <pt idx="5">
                  <v>282</v>
                </pt>
                <pt idx="6">
                  <v>264</v>
                </pt>
                <pt idx="7">
                  <v>247</v>
                </pt>
                <pt idx="8">
                  <v>229</v>
                </pt>
                <pt idx="9">
                  <v>211</v>
                </pt>
                <pt idx="10">
                  <v>194</v>
                </pt>
                <pt idx="11">
                  <v>176</v>
                </pt>
                <pt idx="12">
                  <v>159</v>
                </pt>
                <pt idx="13">
                  <v>141</v>
                </pt>
                <pt idx="14">
                  <v>123</v>
                </pt>
                <pt idx="15">
                  <v>106</v>
                </pt>
                <pt idx="16">
                  <v>88</v>
                </pt>
                <pt idx="17">
                  <v>70</v>
                </pt>
                <pt idx="18">
                  <v>53</v>
                </pt>
                <pt idx="19">
                  <v>35</v>
                </pt>
                <pt idx="20">
                  <v>18</v>
                </pt>
                <pt idx="21">
                  <v>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63971582"/>
        <axId val="230170242"/>
      </lineChart>
      <catAx>
        <axId val="663971582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i="0">
                    <a:solidFill>
                      <a:srgbClr val="000000"/>
                    </a:solidFill>
                    <a:latin typeface="Calibri"/>
                  </a:rPr>
                  <a:t>Día de sprint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s-CL"/>
          </a:p>
        </txPr>
        <crossAx val="230170242"/>
        <crosses val="autoZero"/>
        <auto val="1"/>
        <lblAlgn val="ctr"/>
        <lblOffset val="100"/>
        <noMultiLvlLbl val="1"/>
      </catAx>
      <valAx>
        <axId val="230170242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i="0">
                    <a:solidFill>
                      <a:srgbClr val="000000"/>
                    </a:solidFill>
                    <a:latin typeface="Calibri"/>
                  </a:rPr>
                  <a:t>Horas-hombre [HH]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s-CL"/>
          </a:p>
        </txPr>
        <crossAx val="663971582"/>
        <crosses val="autoZero"/>
        <crossBetween val="between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s-CL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s-CL" sz="1800" b="1" i="0">
                <a:solidFill>
                  <a:srgbClr val="000000"/>
                </a:solidFill>
                <a:latin typeface="Calibri"/>
              </a:rPr>
              <a:t>Burn-Up del Incremento 2 — esfuerzo acumulado</a:t>
            </a:r>
          </a:p>
        </rich>
      </tx>
      <overlay val="0"/>
    </title>
    <plotArea>
      <layout/>
      <lineChart>
        <grouping val="standard"/>
        <varyColors val="1"/>
        <ser>
          <idx val="0"/>
          <order val="0"/>
          <tx>
            <v>Acumulado real (HH)</v>
          </tx>
          <spPr>
            <a:ln xmlns:a="http://schemas.openxmlformats.org/drawingml/2006/main" w="19050" cmpd="sng">
              <a:solidFill>
                <a:srgbClr val="4A7EB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'Gráficas Incremento 2'!$A$5:$A$26</f>
              <numCache>
                <formatCode>General</formatCode>
                <ptCount val="22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</numCache>
            </numRef>
          </cat>
          <val>
            <numRef>
              <f>'Gráficas Incremento 2'!$E$5:$E$26</f>
              <numCache>
                <formatCode>General</formatCode>
                <ptCount val="22"/>
                <pt idx="0">
                  <v>0</v>
                </pt>
                <pt idx="1">
                  <v>6</v>
                </pt>
                <pt idx="2">
                  <v>17</v>
                </pt>
                <pt idx="3">
                  <v>27</v>
                </pt>
                <pt idx="4">
                  <v>42</v>
                </pt>
                <pt idx="5">
                  <v>57</v>
                </pt>
                <pt idx="6">
                  <v>68</v>
                </pt>
                <pt idx="7">
                  <v>78</v>
                </pt>
                <pt idx="8">
                  <v>89</v>
                </pt>
                <pt idx="9">
                  <v>110</v>
                </pt>
                <pt idx="10">
                  <v>135</v>
                </pt>
                <pt idx="11">
                  <v>162</v>
                </pt>
                <pt idx="12">
                  <v>190</v>
                </pt>
                <pt idx="13">
                  <v>214</v>
                </pt>
                <pt idx="14">
                  <v>238</v>
                </pt>
                <pt idx="15">
                  <v>261</v>
                </pt>
                <pt idx="16">
                  <v>282</v>
                </pt>
                <pt idx="17">
                  <v>307</v>
                </pt>
                <pt idx="18">
                  <v>331</v>
                </pt>
                <pt idx="19">
                  <v>350</v>
                </pt>
                <pt idx="20">
                  <v>366</v>
                </pt>
                <pt idx="21">
                  <v>370</v>
                </pt>
              </numCache>
            </numRef>
          </val>
          <smooth val="1"/>
        </ser>
        <ser>
          <idx val="1"/>
          <order val="1"/>
          <tx>
            <v>Acumulado planificado (HH)</v>
          </tx>
          <spPr>
            <a:ln xmlns:a="http://schemas.openxmlformats.org/drawingml/2006/main" w="19050" cmpd="sng">
              <a:solidFill>
                <a:srgbClr val="BE4B4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'Gráficas Incremento 2'!$A$5:$A$26</f>
              <numCache>
                <formatCode>General</formatCode>
                <ptCount val="22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</numCache>
            </numRef>
          </cat>
          <val>
            <numRef>
              <f>'Gráficas Incremento 2'!$F$5:$F$26</f>
              <numCache>
                <formatCode>General</formatCode>
                <ptCount val="22"/>
                <pt idx="0">
                  <v>0</v>
                </pt>
                <pt idx="1">
                  <v>18</v>
                </pt>
                <pt idx="2">
                  <v>35</v>
                </pt>
                <pt idx="3">
                  <v>53</v>
                </pt>
                <pt idx="4">
                  <v>70</v>
                </pt>
                <pt idx="5">
                  <v>88</v>
                </pt>
                <pt idx="6">
                  <v>106</v>
                </pt>
                <pt idx="7">
                  <v>123</v>
                </pt>
                <pt idx="8">
                  <v>141</v>
                </pt>
                <pt idx="9">
                  <v>159</v>
                </pt>
                <pt idx="10">
                  <v>176</v>
                </pt>
                <pt idx="11">
                  <v>194</v>
                </pt>
                <pt idx="12">
                  <v>211</v>
                </pt>
                <pt idx="13">
                  <v>229</v>
                </pt>
                <pt idx="14">
                  <v>247</v>
                </pt>
                <pt idx="15">
                  <v>264</v>
                </pt>
                <pt idx="16">
                  <v>282</v>
                </pt>
                <pt idx="17">
                  <v>300</v>
                </pt>
                <pt idx="18">
                  <v>317</v>
                </pt>
                <pt idx="19">
                  <v>335</v>
                </pt>
                <pt idx="20">
                  <v>352</v>
                </pt>
                <pt idx="21">
                  <v>370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75489952"/>
        <axId val="1967292620"/>
      </lineChart>
      <catAx>
        <axId val="175489952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i="0">
                    <a:solidFill>
                      <a:srgbClr val="000000"/>
                    </a:solidFill>
                    <a:latin typeface="Calibri"/>
                  </a:rPr>
                  <a:t>Día de sprint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s-CL"/>
          </a:p>
        </txPr>
        <crossAx val="1967292620"/>
        <crosses val="autoZero"/>
        <auto val="1"/>
        <lblAlgn val="ctr"/>
        <lblOffset val="100"/>
        <noMultiLvlLbl val="1"/>
      </catAx>
      <valAx>
        <axId val="19672926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i="0">
                    <a:solidFill>
                      <a:srgbClr val="000000"/>
                    </a:solidFill>
                    <a:latin typeface="Calibri"/>
                  </a:rPr>
                  <a:t>Horas-hombre [HH]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s-CL"/>
          </a:p>
        </txPr>
        <crossAx val="175489952"/>
        <crosses val="autoZero"/>
        <crossBetween val="between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s-CL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s-CL"/>
              <a:t xml:space="preserve">Burn-Down del Incremento 3 — esfuerzo pendiente 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'Gráficas Incremento 3'!$C$4</f>
              <strCache>
                <ptCount val="1"/>
                <pt idx="0">
                  <v>Pendiente real (HH)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'Gráficas Incremento 3'!$A$5:$A$24</f>
              <numCache>
                <formatCode>General</formatCode>
                <ptCount val="20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</numCache>
            </numRef>
          </cat>
          <val>
            <numRef>
              <f>'Gráficas Incremento 3'!$C$5:$C$24</f>
              <numCache>
                <formatCode>General</formatCode>
                <ptCount val="20"/>
                <pt idx="0">
                  <v>198</v>
                </pt>
                <pt idx="1">
                  <v>198</v>
                </pt>
                <pt idx="2">
                  <v>194</v>
                </pt>
                <pt idx="3">
                  <v>186</v>
                </pt>
                <pt idx="4">
                  <v>178</v>
                </pt>
                <pt idx="5">
                  <v>170</v>
                </pt>
                <pt idx="6">
                  <v>163</v>
                </pt>
                <pt idx="7">
                  <v>154</v>
                </pt>
                <pt idx="8">
                  <v>144</v>
                </pt>
                <pt idx="9">
                  <v>130.5</v>
                </pt>
                <pt idx="10">
                  <v>113</v>
                </pt>
                <pt idx="11">
                  <v>103.5</v>
                </pt>
                <pt idx="12">
                  <v>88.3</v>
                </pt>
                <pt idx="13">
                  <v>75.7</v>
                </pt>
                <pt idx="14">
                  <v>58</v>
                </pt>
                <pt idx="15">
                  <v>44</v>
                </pt>
                <pt idx="16">
                  <v>25</v>
                </pt>
                <pt idx="17">
                  <v>10</v>
                </pt>
                <pt idx="18">
                  <v>4</v>
                </pt>
                <pt idx="19">
                  <v>0</v>
                </pt>
              </numCache>
            </numRef>
          </val>
          <smooth val="1"/>
        </ser>
        <ser>
          <idx val="1"/>
          <order val="1"/>
          <tx>
            <strRef>
              <f>'Gráficas Incremento 3'!$D$4</f>
              <strCache>
                <ptCount val="1"/>
                <pt idx="0">
                  <v>Pendiente planificado (HH)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'Gráficas Incremento 3'!$A$5:$A$24</f>
              <numCache>
                <formatCode>General</formatCode>
                <ptCount val="20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</numCache>
            </numRef>
          </cat>
          <val>
            <numRef>
              <f>'Gráficas Incremento 3'!$D$5:$D$24</f>
              <numCache>
                <formatCode>General</formatCode>
                <ptCount val="20"/>
                <pt idx="0">
                  <v>198</v>
                </pt>
                <pt idx="1">
                  <v>188</v>
                </pt>
                <pt idx="2">
                  <v>177</v>
                </pt>
                <pt idx="3">
                  <v>167</v>
                </pt>
                <pt idx="4">
                  <v>156</v>
                </pt>
                <pt idx="5">
                  <v>146</v>
                </pt>
                <pt idx="6">
                  <v>135</v>
                </pt>
                <pt idx="7">
                  <v>125</v>
                </pt>
                <pt idx="8">
                  <v>115</v>
                </pt>
                <pt idx="9">
                  <v>104</v>
                </pt>
                <pt idx="10">
                  <v>94</v>
                </pt>
                <pt idx="11">
                  <v>83</v>
                </pt>
                <pt idx="12">
                  <v>73</v>
                </pt>
                <pt idx="13">
                  <v>63</v>
                </pt>
                <pt idx="14">
                  <v>52</v>
                </pt>
                <pt idx="15">
                  <v>42</v>
                </pt>
                <pt idx="16">
                  <v>31</v>
                </pt>
                <pt idx="17">
                  <v>21</v>
                </pt>
                <pt idx="18">
                  <v>10</v>
                </pt>
                <pt idx="19">
                  <v>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s-CL"/>
                  <a:t>Día de sprint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s-CL"/>
                  <a:t>HH pendientes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s-CL"/>
              <a:t xml:space="preserve">Burn-Up del Incremento 3 — esfuerzo acumulado 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'Gráficas Incremento 3'!$E$4</f>
              <strCache>
                <ptCount val="1"/>
                <pt idx="0">
                  <v>Acumulado real (HH)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'Gráficas Incremento 3'!$A$5:$A$24</f>
              <numCache>
                <formatCode>General</formatCode>
                <ptCount val="20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</numCache>
            </numRef>
          </cat>
          <val>
            <numRef>
              <f>'Gráficas Incremento 3'!$E$5:$E$24</f>
              <numCache>
                <formatCode>General</formatCode>
                <ptCount val="20"/>
                <pt idx="0">
                  <v>0</v>
                </pt>
                <pt idx="1">
                  <v>0</v>
                </pt>
                <pt idx="2">
                  <v>4</v>
                </pt>
                <pt idx="3">
                  <v>12</v>
                </pt>
                <pt idx="4">
                  <v>20</v>
                </pt>
                <pt idx="5">
                  <v>28</v>
                </pt>
                <pt idx="6">
                  <v>35</v>
                </pt>
                <pt idx="7">
                  <v>44</v>
                </pt>
                <pt idx="8">
                  <v>54</v>
                </pt>
                <pt idx="9">
                  <v>67.5</v>
                </pt>
                <pt idx="10">
                  <v>85</v>
                </pt>
                <pt idx="11">
                  <v>94.5</v>
                </pt>
                <pt idx="12">
                  <v>109.7</v>
                </pt>
                <pt idx="13">
                  <v>122.3</v>
                </pt>
                <pt idx="14">
                  <v>140</v>
                </pt>
                <pt idx="15">
                  <v>154</v>
                </pt>
                <pt idx="16">
                  <v>173</v>
                </pt>
                <pt idx="17">
                  <v>188</v>
                </pt>
                <pt idx="18">
                  <v>194</v>
                </pt>
                <pt idx="19">
                  <v>198</v>
                </pt>
              </numCache>
            </numRef>
          </val>
          <smooth val="1"/>
        </ser>
        <ser>
          <idx val="1"/>
          <order val="1"/>
          <tx>
            <strRef>
              <f>'Gráficas Incremento 3'!$F$4</f>
              <strCache>
                <ptCount val="1"/>
                <pt idx="0">
                  <v>Acumulado planificado (HH)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'Gráficas Incremento 3'!$A$5:$A$24</f>
              <numCache>
                <formatCode>General</formatCode>
                <ptCount val="20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</numCache>
            </numRef>
          </cat>
          <val>
            <numRef>
              <f>'Gráficas Incremento 3'!$F$5:$F$24</f>
              <numCache>
                <formatCode>General</formatCode>
                <ptCount val="20"/>
                <pt idx="0">
                  <v>0</v>
                </pt>
                <pt idx="1">
                  <v>10</v>
                </pt>
                <pt idx="2">
                  <v>21</v>
                </pt>
                <pt idx="3">
                  <v>31</v>
                </pt>
                <pt idx="4">
                  <v>42</v>
                </pt>
                <pt idx="5">
                  <v>52</v>
                </pt>
                <pt idx="6">
                  <v>63</v>
                </pt>
                <pt idx="7">
                  <v>73</v>
                </pt>
                <pt idx="8">
                  <v>83</v>
                </pt>
                <pt idx="9">
                  <v>94</v>
                </pt>
                <pt idx="10">
                  <v>104</v>
                </pt>
                <pt idx="11">
                  <v>115</v>
                </pt>
                <pt idx="12">
                  <v>125</v>
                </pt>
                <pt idx="13">
                  <v>135</v>
                </pt>
                <pt idx="14">
                  <v>146</v>
                </pt>
                <pt idx="15">
                  <v>156</v>
                </pt>
                <pt idx="16">
                  <v>167</v>
                </pt>
                <pt idx="17">
                  <v>177</v>
                </pt>
                <pt idx="18">
                  <v>188</v>
                </pt>
                <pt idx="19">
                  <v>198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s-CL"/>
                  <a:t>Día de sprint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s-CL"/>
                  <a:t>HH acumuladas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s-CL" sz="1800" b="1" i="0">
                <a:solidFill>
                  <a:srgbClr val="000000"/>
                </a:solidFill>
                <a:latin typeface="Calibri"/>
              </a:rPr>
              <a:t xml:space="preserve">Burn-Down acumulado — </a:t>
            </a:r>
            <a:r>
              <a:rPr lang="es-CL" sz="1800" b="1" i="0" strike="noStrike" kern="1200" baseline="0">
                <a:solidFill>
                  <a:srgbClr val="000000"/>
                </a:solidFill>
                <a:latin typeface="Calibri"/>
              </a:rPr>
              <a:t>Incremento 1, 2 y 3</a:t>
            </a:r>
            <a:endParaRPr lang="es-CL" sz="1800" b="1" i="0">
              <a:solidFill>
                <a:srgbClr val="000000"/>
              </a:solidFill>
              <a:latin typeface="Calibri"/>
            </a:endParaRPr>
          </a:p>
        </rich>
      </tx>
      <overlay val="0"/>
    </title>
    <plotArea>
      <layout/>
      <lineChart>
        <grouping val="standard"/>
        <varyColors val="1"/>
        <ser>
          <idx val="0"/>
          <order val="0"/>
          <tx>
            <v>Pendiente real (HH)</v>
          </tx>
          <spPr>
            <a:ln xmlns:a="http://schemas.openxmlformats.org/drawingml/2006/main" w="19050" cmpd="sng">
              <a:solidFill>
                <a:srgbClr val="4A7EB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'Gráficas acumuladas'!$A$5:$A$66</f>
              <numCache>
                <formatCode>General</formatCode>
                <ptCount val="62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  <pt idx="46">
                  <v>46</v>
                </pt>
                <pt idx="47">
                  <v>47</v>
                </pt>
                <pt idx="48">
                  <v>48</v>
                </pt>
                <pt idx="49">
                  <v>49</v>
                </pt>
                <pt idx="50">
                  <v>50</v>
                </pt>
                <pt idx="51">
                  <v>51</v>
                </pt>
                <pt idx="52">
                  <v>52</v>
                </pt>
                <pt idx="53">
                  <v>53</v>
                </pt>
                <pt idx="54">
                  <v>54</v>
                </pt>
                <pt idx="55">
                  <v>55</v>
                </pt>
                <pt idx="56">
                  <v>56</v>
                </pt>
                <pt idx="57">
                  <v>57</v>
                </pt>
                <pt idx="58">
                  <v>58</v>
                </pt>
                <pt idx="59">
                  <v>59</v>
                </pt>
                <pt idx="60">
                  <v>60</v>
                </pt>
                <pt idx="61">
                  <v>61</v>
                </pt>
              </numCache>
            </numRef>
          </cat>
          <val>
            <numRef>
              <f>'Gráficas acumuladas'!$D$5:$D$66</f>
              <numCache>
                <formatCode>General</formatCode>
                <ptCount val="62"/>
                <pt idx="0">
                  <v>534</v>
                </pt>
                <pt idx="1">
                  <v>529</v>
                </pt>
                <pt idx="2">
                  <v>521</v>
                </pt>
                <pt idx="3">
                  <v>510</v>
                </pt>
                <pt idx="4">
                  <v>498</v>
                </pt>
                <pt idx="5">
                  <v>488</v>
                </pt>
                <pt idx="6">
                  <v>480</v>
                </pt>
                <pt idx="7">
                  <v>472</v>
                </pt>
                <pt idx="8">
                  <v>462</v>
                </pt>
                <pt idx="9">
                  <v>454</v>
                </pt>
                <pt idx="10">
                  <v>446</v>
                </pt>
                <pt idx="11">
                  <v>439</v>
                </pt>
                <pt idx="12">
                  <v>431</v>
                </pt>
                <pt idx="13">
                  <v>424</v>
                </pt>
                <pt idx="14">
                  <v>414</v>
                </pt>
                <pt idx="15">
                  <v>404</v>
                </pt>
                <pt idx="16">
                  <v>397</v>
                </pt>
                <pt idx="17">
                  <v>389</v>
                </pt>
                <pt idx="18">
                  <v>383</v>
                </pt>
                <pt idx="19">
                  <v>374</v>
                </pt>
                <pt idx="20">
                  <v>371</v>
                </pt>
                <pt idx="21">
                  <v>370</v>
                </pt>
                <pt idx="22">
                  <v>364</v>
                </pt>
                <pt idx="23">
                  <v>353</v>
                </pt>
                <pt idx="24">
                  <v>343</v>
                </pt>
                <pt idx="25">
                  <v>328</v>
                </pt>
                <pt idx="26">
                  <v>313</v>
                </pt>
                <pt idx="27">
                  <v>302</v>
                </pt>
                <pt idx="28">
                  <v>292</v>
                </pt>
                <pt idx="29">
                  <v>281</v>
                </pt>
                <pt idx="30">
                  <v>260</v>
                </pt>
                <pt idx="31">
                  <v>235</v>
                </pt>
                <pt idx="32">
                  <v>208</v>
                </pt>
                <pt idx="33">
                  <v>180</v>
                </pt>
                <pt idx="34">
                  <v>156</v>
                </pt>
                <pt idx="35">
                  <v>132</v>
                </pt>
                <pt idx="36">
                  <v>109</v>
                </pt>
                <pt idx="37">
                  <v>88</v>
                </pt>
                <pt idx="38">
                  <v>63</v>
                </pt>
                <pt idx="39">
                  <v>39</v>
                </pt>
                <pt idx="40">
                  <v>20</v>
                </pt>
                <pt idx="41">
                  <v>4</v>
                </pt>
                <pt idx="42">
                  <v>0</v>
                </pt>
                <pt idx="43">
                  <v>198</v>
                </pt>
                <pt idx="44">
                  <v>194</v>
                </pt>
                <pt idx="45">
                  <v>186</v>
                </pt>
                <pt idx="46">
                  <v>178</v>
                </pt>
                <pt idx="47">
                  <v>170</v>
                </pt>
                <pt idx="48">
                  <v>163</v>
                </pt>
                <pt idx="49">
                  <v>154</v>
                </pt>
                <pt idx="50">
                  <v>144</v>
                </pt>
                <pt idx="51">
                  <v>130.5</v>
                </pt>
                <pt idx="52">
                  <v>113</v>
                </pt>
                <pt idx="53">
                  <v>103.5</v>
                </pt>
                <pt idx="54">
                  <v>88.3</v>
                </pt>
                <pt idx="55">
                  <v>75.7</v>
                </pt>
                <pt idx="56">
                  <v>58</v>
                </pt>
                <pt idx="57">
                  <v>44</v>
                </pt>
                <pt idx="58">
                  <v>25</v>
                </pt>
                <pt idx="59">
                  <v>10</v>
                </pt>
                <pt idx="60">
                  <v>4</v>
                </pt>
                <pt idx="61">
                  <v>0</v>
                </pt>
              </numCache>
            </numRef>
          </val>
          <smooth val="1"/>
        </ser>
        <ser>
          <idx val="1"/>
          <order val="1"/>
          <tx>
            <v>Pendiente planificado (HH)</v>
          </tx>
          <spPr>
            <a:ln xmlns:a="http://schemas.openxmlformats.org/drawingml/2006/main" w="19050" cmpd="sng">
              <a:solidFill>
                <a:srgbClr val="BE4B4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'Gráficas acumuladas'!$A$5:$A$66</f>
              <numCache>
                <formatCode>General</formatCode>
                <ptCount val="62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  <pt idx="46">
                  <v>46</v>
                </pt>
                <pt idx="47">
                  <v>47</v>
                </pt>
                <pt idx="48">
                  <v>48</v>
                </pt>
                <pt idx="49">
                  <v>49</v>
                </pt>
                <pt idx="50">
                  <v>50</v>
                </pt>
                <pt idx="51">
                  <v>51</v>
                </pt>
                <pt idx="52">
                  <v>52</v>
                </pt>
                <pt idx="53">
                  <v>53</v>
                </pt>
                <pt idx="54">
                  <v>54</v>
                </pt>
                <pt idx="55">
                  <v>55</v>
                </pt>
                <pt idx="56">
                  <v>56</v>
                </pt>
                <pt idx="57">
                  <v>57</v>
                </pt>
                <pt idx="58">
                  <v>58</v>
                </pt>
                <pt idx="59">
                  <v>59</v>
                </pt>
                <pt idx="60">
                  <v>60</v>
                </pt>
                <pt idx="61">
                  <v>61</v>
                </pt>
              </numCache>
            </numRef>
          </cat>
          <val>
            <numRef>
              <f>'Gráficas acumuladas'!$E$5:$E$66</f>
              <numCache>
                <formatCode>General</formatCode>
                <ptCount val="62"/>
                <pt idx="0">
                  <v>534</v>
                </pt>
                <pt idx="1">
                  <v>526</v>
                </pt>
                <pt idx="2">
                  <v>518</v>
                </pt>
                <pt idx="3">
                  <v>511</v>
                </pt>
                <pt idx="4">
                  <v>503</v>
                </pt>
                <pt idx="5">
                  <v>495</v>
                </pt>
                <pt idx="6">
                  <v>487</v>
                </pt>
                <pt idx="7">
                  <v>479</v>
                </pt>
                <pt idx="8">
                  <v>472</v>
                </pt>
                <pt idx="9">
                  <v>464</v>
                </pt>
                <pt idx="10">
                  <v>456</v>
                </pt>
                <pt idx="11">
                  <v>448</v>
                </pt>
                <pt idx="12">
                  <v>440</v>
                </pt>
                <pt idx="13">
                  <v>432</v>
                </pt>
                <pt idx="14">
                  <v>425</v>
                </pt>
                <pt idx="15">
                  <v>417</v>
                </pt>
                <pt idx="16">
                  <v>409</v>
                </pt>
                <pt idx="17">
                  <v>401</v>
                </pt>
                <pt idx="18">
                  <v>393</v>
                </pt>
                <pt idx="19">
                  <v>386</v>
                </pt>
                <pt idx="20">
                  <v>378</v>
                </pt>
                <pt idx="21">
                  <v>370</v>
                </pt>
                <pt idx="22">
                  <v>352</v>
                </pt>
                <pt idx="23">
                  <v>335</v>
                </pt>
                <pt idx="24">
                  <v>317</v>
                </pt>
                <pt idx="25">
                  <v>300</v>
                </pt>
                <pt idx="26">
                  <v>282</v>
                </pt>
                <pt idx="27">
                  <v>264</v>
                </pt>
                <pt idx="28">
                  <v>247</v>
                </pt>
                <pt idx="29">
                  <v>229</v>
                </pt>
                <pt idx="30">
                  <v>211</v>
                </pt>
                <pt idx="31">
                  <v>194</v>
                </pt>
                <pt idx="32">
                  <v>176</v>
                </pt>
                <pt idx="33">
                  <v>159</v>
                </pt>
                <pt idx="34">
                  <v>141</v>
                </pt>
                <pt idx="35">
                  <v>123</v>
                </pt>
                <pt idx="36">
                  <v>106</v>
                </pt>
                <pt idx="37">
                  <v>88</v>
                </pt>
                <pt idx="38">
                  <v>70</v>
                </pt>
                <pt idx="39">
                  <v>53</v>
                </pt>
                <pt idx="40">
                  <v>35</v>
                </pt>
                <pt idx="41">
                  <v>18</v>
                </pt>
                <pt idx="42">
                  <v>0</v>
                </pt>
                <pt idx="43">
                  <v>188</v>
                </pt>
                <pt idx="44">
                  <v>177</v>
                </pt>
                <pt idx="45">
                  <v>167</v>
                </pt>
                <pt idx="46">
                  <v>156</v>
                </pt>
                <pt idx="47">
                  <v>146</v>
                </pt>
                <pt idx="48">
                  <v>135</v>
                </pt>
                <pt idx="49">
                  <v>125</v>
                </pt>
                <pt idx="50">
                  <v>115</v>
                </pt>
                <pt idx="51">
                  <v>104</v>
                </pt>
                <pt idx="52">
                  <v>94</v>
                </pt>
                <pt idx="53">
                  <v>83</v>
                </pt>
                <pt idx="54">
                  <v>73</v>
                </pt>
                <pt idx="55">
                  <v>63</v>
                </pt>
                <pt idx="56">
                  <v>52</v>
                </pt>
                <pt idx="57">
                  <v>42</v>
                </pt>
                <pt idx="58">
                  <v>31</v>
                </pt>
                <pt idx="59">
                  <v>21</v>
                </pt>
                <pt idx="60">
                  <v>10</v>
                </pt>
                <pt idx="61">
                  <v>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90138620"/>
        <axId val="1746558715"/>
      </lineChart>
      <catAx>
        <axId val="159013862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i="0">
                    <a:solidFill>
                      <a:srgbClr val="000000"/>
                    </a:solidFill>
                    <a:latin typeface="Calibri"/>
                  </a:rPr>
                  <a:t>Día de sprint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s-CL"/>
          </a:p>
        </txPr>
        <crossAx val="1746558715"/>
        <crosses val="autoZero"/>
        <auto val="1"/>
        <lblAlgn val="ctr"/>
        <lblOffset val="100"/>
        <noMultiLvlLbl val="1"/>
      </catAx>
      <valAx>
        <axId val="1746558715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i="0">
                    <a:solidFill>
                      <a:srgbClr val="000000"/>
                    </a:solidFill>
                    <a:latin typeface="Calibri"/>
                  </a:rPr>
                  <a:t>Horas-hombre [HH]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s-CL"/>
          </a:p>
        </txPr>
        <crossAx val="1590138620"/>
        <crosses val="autoZero"/>
        <crossBetween val="between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s-CL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s-CL" sz="1800" b="1" i="0">
                <a:solidFill>
                  <a:srgbClr val="000000"/>
                </a:solidFill>
                <a:latin typeface="Calibri"/>
              </a:rPr>
              <a:t xml:space="preserve">Burn-Up acumulado — </a:t>
            </a:r>
            <a:r>
              <a:rPr lang="es-CL" sz="1800" b="1" i="0" baseline="0">
                <a:solidFill>
                  <a:srgbClr val="000000"/>
                </a:solidFill>
                <a:latin typeface="Calibri"/>
              </a:rPr>
              <a:t xml:space="preserve"> Incremento 1, 2 y 3</a:t>
            </a:r>
            <a:endParaRPr lang="es-CL" sz="1800" b="1" i="0">
              <a:solidFill>
                <a:srgbClr val="000000"/>
              </a:solidFill>
              <a:latin typeface="Calibri"/>
            </a:endParaRPr>
          </a:p>
        </rich>
      </tx>
      <overlay val="0"/>
    </title>
    <plotArea>
      <layout/>
      <lineChart>
        <grouping val="standard"/>
        <varyColors val="1"/>
        <ser>
          <idx val="0"/>
          <order val="0"/>
          <tx>
            <v>Acumulado real (HH)</v>
          </tx>
          <spPr>
            <a:ln xmlns:a="http://schemas.openxmlformats.org/drawingml/2006/main" w="19050" cmpd="sng">
              <a:solidFill>
                <a:srgbClr val="4A7EB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'Gráficas acumuladas'!$A$5:$A$66</f>
              <numCache>
                <formatCode>General</formatCode>
                <ptCount val="62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  <pt idx="46">
                  <v>46</v>
                </pt>
                <pt idx="47">
                  <v>47</v>
                </pt>
                <pt idx="48">
                  <v>48</v>
                </pt>
                <pt idx="49">
                  <v>49</v>
                </pt>
                <pt idx="50">
                  <v>50</v>
                </pt>
                <pt idx="51">
                  <v>51</v>
                </pt>
                <pt idx="52">
                  <v>52</v>
                </pt>
                <pt idx="53">
                  <v>53</v>
                </pt>
                <pt idx="54">
                  <v>54</v>
                </pt>
                <pt idx="55">
                  <v>55</v>
                </pt>
                <pt idx="56">
                  <v>56</v>
                </pt>
                <pt idx="57">
                  <v>57</v>
                </pt>
                <pt idx="58">
                  <v>58</v>
                </pt>
                <pt idx="59">
                  <v>59</v>
                </pt>
                <pt idx="60">
                  <v>60</v>
                </pt>
                <pt idx="61">
                  <v>61</v>
                </pt>
              </numCache>
            </numRef>
          </cat>
          <val>
            <numRef>
              <f>'Gráficas acumuladas'!$F$5:$F$66</f>
              <numCache>
                <formatCode>General</formatCode>
                <ptCount val="62"/>
                <pt idx="0">
                  <v>0</v>
                </pt>
                <pt idx="1">
                  <v>5</v>
                </pt>
                <pt idx="2">
                  <v>13</v>
                </pt>
                <pt idx="3">
                  <v>24</v>
                </pt>
                <pt idx="4">
                  <v>36</v>
                </pt>
                <pt idx="5">
                  <v>46</v>
                </pt>
                <pt idx="6">
                  <v>54</v>
                </pt>
                <pt idx="7">
                  <v>62</v>
                </pt>
                <pt idx="8">
                  <v>72</v>
                </pt>
                <pt idx="9">
                  <v>80</v>
                </pt>
                <pt idx="10">
                  <v>88</v>
                </pt>
                <pt idx="11">
                  <v>95</v>
                </pt>
                <pt idx="12">
                  <v>103</v>
                </pt>
                <pt idx="13">
                  <v>110</v>
                </pt>
                <pt idx="14">
                  <v>120</v>
                </pt>
                <pt idx="15">
                  <v>130</v>
                </pt>
                <pt idx="16">
                  <v>137</v>
                </pt>
                <pt idx="17">
                  <v>145</v>
                </pt>
                <pt idx="18">
                  <v>151</v>
                </pt>
                <pt idx="19">
                  <v>160</v>
                </pt>
                <pt idx="20">
                  <v>163</v>
                </pt>
                <pt idx="21">
                  <v>164</v>
                </pt>
                <pt idx="22">
                  <v>170</v>
                </pt>
                <pt idx="23">
                  <v>181</v>
                </pt>
                <pt idx="24">
                  <v>191</v>
                </pt>
                <pt idx="25">
                  <v>206</v>
                </pt>
                <pt idx="26">
                  <v>221</v>
                </pt>
                <pt idx="27">
                  <v>232</v>
                </pt>
                <pt idx="28">
                  <v>242</v>
                </pt>
                <pt idx="29">
                  <v>253</v>
                </pt>
                <pt idx="30">
                  <v>274</v>
                </pt>
                <pt idx="31">
                  <v>299</v>
                </pt>
                <pt idx="32">
                  <v>326</v>
                </pt>
                <pt idx="33">
                  <v>354</v>
                </pt>
                <pt idx="34">
                  <v>378</v>
                </pt>
                <pt idx="35">
                  <v>402</v>
                </pt>
                <pt idx="36">
                  <v>425</v>
                </pt>
                <pt idx="37">
                  <v>446</v>
                </pt>
                <pt idx="38">
                  <v>471</v>
                </pt>
                <pt idx="39">
                  <v>495</v>
                </pt>
                <pt idx="40">
                  <v>514</v>
                </pt>
                <pt idx="41">
                  <v>530</v>
                </pt>
                <pt idx="42">
                  <v>534</v>
                </pt>
                <pt idx="43">
                  <v>534</v>
                </pt>
                <pt idx="44">
                  <v>538</v>
                </pt>
                <pt idx="45">
                  <v>546</v>
                </pt>
                <pt idx="46">
                  <v>554</v>
                </pt>
                <pt idx="47">
                  <v>562</v>
                </pt>
                <pt idx="48">
                  <v>569</v>
                </pt>
                <pt idx="49">
                  <v>578</v>
                </pt>
                <pt idx="50">
                  <v>588</v>
                </pt>
                <pt idx="51">
                  <v>601.5</v>
                </pt>
                <pt idx="52">
                  <v>619</v>
                </pt>
                <pt idx="53">
                  <v>628.5</v>
                </pt>
                <pt idx="54">
                  <v>643.7</v>
                </pt>
                <pt idx="55">
                  <v>656.3</v>
                </pt>
                <pt idx="56">
                  <v>674</v>
                </pt>
                <pt idx="57">
                  <v>688</v>
                </pt>
                <pt idx="58">
                  <v>707</v>
                </pt>
                <pt idx="59">
                  <v>722</v>
                </pt>
                <pt idx="60">
                  <v>728</v>
                </pt>
                <pt idx="61">
                  <v>732</v>
                </pt>
              </numCache>
            </numRef>
          </val>
          <smooth val="1"/>
        </ser>
        <ser>
          <idx val="1"/>
          <order val="1"/>
          <tx>
            <v>Acumulado planificado (HH)</v>
          </tx>
          <spPr>
            <a:ln xmlns:a="http://schemas.openxmlformats.org/drawingml/2006/main" w="19050" cmpd="sng">
              <a:solidFill>
                <a:srgbClr val="BE4B4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'Gráficas acumuladas'!$A$5:$A$66</f>
              <numCache>
                <formatCode>General</formatCode>
                <ptCount val="62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  <pt idx="46">
                  <v>46</v>
                </pt>
                <pt idx="47">
                  <v>47</v>
                </pt>
                <pt idx="48">
                  <v>48</v>
                </pt>
                <pt idx="49">
                  <v>49</v>
                </pt>
                <pt idx="50">
                  <v>50</v>
                </pt>
                <pt idx="51">
                  <v>51</v>
                </pt>
                <pt idx="52">
                  <v>52</v>
                </pt>
                <pt idx="53">
                  <v>53</v>
                </pt>
                <pt idx="54">
                  <v>54</v>
                </pt>
                <pt idx="55">
                  <v>55</v>
                </pt>
                <pt idx="56">
                  <v>56</v>
                </pt>
                <pt idx="57">
                  <v>57</v>
                </pt>
                <pt idx="58">
                  <v>58</v>
                </pt>
                <pt idx="59">
                  <v>59</v>
                </pt>
                <pt idx="60">
                  <v>60</v>
                </pt>
                <pt idx="61">
                  <v>61</v>
                </pt>
              </numCache>
            </numRef>
          </cat>
          <val>
            <numRef>
              <f>'Gráficas acumuladas'!$G$5:$G$66</f>
              <numCache>
                <formatCode>General</formatCode>
                <ptCount val="62"/>
                <pt idx="0">
                  <v>0</v>
                </pt>
                <pt idx="1">
                  <v>8</v>
                </pt>
                <pt idx="2">
                  <v>16</v>
                </pt>
                <pt idx="3">
                  <v>23</v>
                </pt>
                <pt idx="4">
                  <v>31</v>
                </pt>
                <pt idx="5">
                  <v>39</v>
                </pt>
                <pt idx="6">
                  <v>47</v>
                </pt>
                <pt idx="7">
                  <v>55</v>
                </pt>
                <pt idx="8">
                  <v>62</v>
                </pt>
                <pt idx="9">
                  <v>70</v>
                </pt>
                <pt idx="10">
                  <v>78</v>
                </pt>
                <pt idx="11">
                  <v>86</v>
                </pt>
                <pt idx="12">
                  <v>94</v>
                </pt>
                <pt idx="13">
                  <v>102</v>
                </pt>
                <pt idx="14">
                  <v>109</v>
                </pt>
                <pt idx="15">
                  <v>117</v>
                </pt>
                <pt idx="16">
                  <v>125</v>
                </pt>
                <pt idx="17">
                  <v>133</v>
                </pt>
                <pt idx="18">
                  <v>141</v>
                </pt>
                <pt idx="19">
                  <v>148</v>
                </pt>
                <pt idx="20">
                  <v>156</v>
                </pt>
                <pt idx="21">
                  <v>164</v>
                </pt>
                <pt idx="22">
                  <v>182</v>
                </pt>
                <pt idx="23">
                  <v>199</v>
                </pt>
                <pt idx="24">
                  <v>217</v>
                </pt>
                <pt idx="25">
                  <v>234</v>
                </pt>
                <pt idx="26">
                  <v>252</v>
                </pt>
                <pt idx="27">
                  <v>270</v>
                </pt>
                <pt idx="28">
                  <v>287</v>
                </pt>
                <pt idx="29">
                  <v>305</v>
                </pt>
                <pt idx="30">
                  <v>323</v>
                </pt>
                <pt idx="31">
                  <v>340</v>
                </pt>
                <pt idx="32">
                  <v>358</v>
                </pt>
                <pt idx="33">
                  <v>375</v>
                </pt>
                <pt idx="34">
                  <v>393</v>
                </pt>
                <pt idx="35">
                  <v>411</v>
                </pt>
                <pt idx="36">
                  <v>428</v>
                </pt>
                <pt idx="37">
                  <v>446</v>
                </pt>
                <pt idx="38">
                  <v>464</v>
                </pt>
                <pt idx="39">
                  <v>481</v>
                </pt>
                <pt idx="40">
                  <v>499</v>
                </pt>
                <pt idx="41">
                  <v>516</v>
                </pt>
                <pt idx="42">
                  <v>534</v>
                </pt>
                <pt idx="43">
                  <v>544</v>
                </pt>
                <pt idx="44">
                  <v>555</v>
                </pt>
                <pt idx="45">
                  <v>565</v>
                </pt>
                <pt idx="46">
                  <v>576</v>
                </pt>
                <pt idx="47">
                  <v>586</v>
                </pt>
                <pt idx="48">
                  <v>597</v>
                </pt>
                <pt idx="49">
                  <v>607</v>
                </pt>
                <pt idx="50">
                  <v>617</v>
                </pt>
                <pt idx="51">
                  <v>628</v>
                </pt>
                <pt idx="52">
                  <v>638</v>
                </pt>
                <pt idx="53">
                  <v>649</v>
                </pt>
                <pt idx="54">
                  <v>659</v>
                </pt>
                <pt idx="55">
                  <v>669</v>
                </pt>
                <pt idx="56">
                  <v>680</v>
                </pt>
                <pt idx="57">
                  <v>690</v>
                </pt>
                <pt idx="58">
                  <v>701</v>
                </pt>
                <pt idx="59">
                  <v>711</v>
                </pt>
                <pt idx="60">
                  <v>722</v>
                </pt>
                <pt idx="61">
                  <v>732</v>
                </pt>
              </numCache>
            </numRef>
          </val>
          <smooth val="1"/>
        </ser>
        <ser>
          <idx val="2"/>
          <order val="2"/>
          <tx>
            <v>Alcance comprometido (HH)</v>
          </tx>
          <spPr>
            <a:ln xmlns:a="http://schemas.openxmlformats.org/drawingml/2006/main" w="19050" cmpd="sng">
              <a:solidFill>
                <a:srgbClr val="98B85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'Gráficas acumuladas'!$A$5:$A$66</f>
              <numCache>
                <formatCode>General</formatCode>
                <ptCount val="62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  <pt idx="46">
                  <v>46</v>
                </pt>
                <pt idx="47">
                  <v>47</v>
                </pt>
                <pt idx="48">
                  <v>48</v>
                </pt>
                <pt idx="49">
                  <v>49</v>
                </pt>
                <pt idx="50">
                  <v>50</v>
                </pt>
                <pt idx="51">
                  <v>51</v>
                </pt>
                <pt idx="52">
                  <v>52</v>
                </pt>
                <pt idx="53">
                  <v>53</v>
                </pt>
                <pt idx="54">
                  <v>54</v>
                </pt>
                <pt idx="55">
                  <v>55</v>
                </pt>
                <pt idx="56">
                  <v>56</v>
                </pt>
                <pt idx="57">
                  <v>57</v>
                </pt>
                <pt idx="58">
                  <v>58</v>
                </pt>
                <pt idx="59">
                  <v>59</v>
                </pt>
                <pt idx="60">
                  <v>60</v>
                </pt>
                <pt idx="61">
                  <v>61</v>
                </pt>
              </numCache>
            </numRef>
          </cat>
          <val>
            <numRef>
              <f>'Gráficas acumuladas'!$H$5:$H$66</f>
              <numCache>
                <formatCode>General</formatCode>
                <ptCount val="62"/>
                <pt idx="0">
                  <v>164</v>
                </pt>
                <pt idx="1">
                  <v>164</v>
                </pt>
                <pt idx="2">
                  <v>164</v>
                </pt>
                <pt idx="3">
                  <v>164</v>
                </pt>
                <pt idx="4">
                  <v>164</v>
                </pt>
                <pt idx="5">
                  <v>164</v>
                </pt>
                <pt idx="6">
                  <v>164</v>
                </pt>
                <pt idx="7">
                  <v>164</v>
                </pt>
                <pt idx="8">
                  <v>164</v>
                </pt>
                <pt idx="9">
                  <v>164</v>
                </pt>
                <pt idx="10">
                  <v>164</v>
                </pt>
                <pt idx="11">
                  <v>164</v>
                </pt>
                <pt idx="12">
                  <v>164</v>
                </pt>
                <pt idx="13">
                  <v>164</v>
                </pt>
                <pt idx="14">
                  <v>164</v>
                </pt>
                <pt idx="15">
                  <v>164</v>
                </pt>
                <pt idx="16">
                  <v>164</v>
                </pt>
                <pt idx="17">
                  <v>164</v>
                </pt>
                <pt idx="18">
                  <v>164</v>
                </pt>
                <pt idx="19">
                  <v>164</v>
                </pt>
                <pt idx="20">
                  <v>164</v>
                </pt>
                <pt idx="21">
                  <v>164</v>
                </pt>
                <pt idx="22">
                  <v>534</v>
                </pt>
                <pt idx="23">
                  <v>534</v>
                </pt>
                <pt idx="24">
                  <v>534</v>
                </pt>
                <pt idx="25">
                  <v>534</v>
                </pt>
                <pt idx="26">
                  <v>534</v>
                </pt>
                <pt idx="27">
                  <v>534</v>
                </pt>
                <pt idx="28">
                  <v>534</v>
                </pt>
                <pt idx="29">
                  <v>534</v>
                </pt>
                <pt idx="30">
                  <v>534</v>
                </pt>
                <pt idx="31">
                  <v>534</v>
                </pt>
                <pt idx="32">
                  <v>534</v>
                </pt>
                <pt idx="33">
                  <v>534</v>
                </pt>
                <pt idx="34">
                  <v>534</v>
                </pt>
                <pt idx="35">
                  <v>534</v>
                </pt>
                <pt idx="36">
                  <v>534</v>
                </pt>
                <pt idx="37">
                  <v>534</v>
                </pt>
                <pt idx="38">
                  <v>534</v>
                </pt>
                <pt idx="39">
                  <v>534</v>
                </pt>
                <pt idx="40">
                  <v>534</v>
                </pt>
                <pt idx="41">
                  <v>534</v>
                </pt>
                <pt idx="42">
                  <v>534</v>
                </pt>
                <pt idx="43">
                  <v>732</v>
                </pt>
                <pt idx="44">
                  <v>732</v>
                </pt>
                <pt idx="45">
                  <v>732</v>
                </pt>
                <pt idx="46">
                  <v>732</v>
                </pt>
                <pt idx="47">
                  <v>732</v>
                </pt>
                <pt idx="48">
                  <v>732</v>
                </pt>
                <pt idx="49">
                  <v>732</v>
                </pt>
                <pt idx="50">
                  <v>732</v>
                </pt>
                <pt idx="51">
                  <v>732</v>
                </pt>
                <pt idx="52">
                  <v>732</v>
                </pt>
                <pt idx="53">
                  <v>732</v>
                </pt>
                <pt idx="54">
                  <v>732</v>
                </pt>
                <pt idx="55">
                  <v>732</v>
                </pt>
                <pt idx="56">
                  <v>732</v>
                </pt>
                <pt idx="57">
                  <v>732</v>
                </pt>
                <pt idx="58">
                  <v>732</v>
                </pt>
                <pt idx="59">
                  <v>732</v>
                </pt>
                <pt idx="60">
                  <v>732</v>
                </pt>
                <pt idx="61">
                  <v>732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73640089"/>
        <axId val="843902074"/>
      </lineChart>
      <catAx>
        <axId val="273640089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i="0">
                    <a:solidFill>
                      <a:srgbClr val="000000"/>
                    </a:solidFill>
                    <a:latin typeface="Calibri"/>
                  </a:rPr>
                  <a:t>Día de sprint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s-CL"/>
          </a:p>
        </txPr>
        <crossAx val="843902074"/>
        <crosses val="autoZero"/>
        <auto val="1"/>
        <lblAlgn val="ctr"/>
        <lblOffset val="100"/>
        <noMultiLvlLbl val="1"/>
      </catAx>
      <valAx>
        <axId val="843902074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i="0">
                    <a:solidFill>
                      <a:srgbClr val="000000"/>
                    </a:solidFill>
                    <a:latin typeface="Calibri"/>
                  </a:rPr>
                  <a:t>Horas-hombre [HH]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s-CL"/>
          </a:p>
        </txPr>
        <crossAx val="273640089"/>
        <crosses val="autoZero"/>
        <crossBetween val="between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s-CL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6858000" cy="32956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8</col>
      <colOff>0</colOff>
      <row>22</row>
      <rowOff>95250</rowOff>
    </from>
    <ext cx="6858000" cy="3400425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19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3</row>
      <rowOff>0</rowOff>
    </from>
    <ext cx="6858000" cy="32956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9</col>
      <colOff>0</colOff>
      <row>22</row>
      <rowOff>95250</rowOff>
    </from>
    <ext cx="6858000" cy="3400425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K120" sqref="K120"/>
    </sheetView>
  </sheetViews>
  <sheetFormatPr baseColWidth="8" defaultColWidth="14.453125" defaultRowHeight="15" customHeight="1"/>
  <cols>
    <col width="11" customWidth="1" min="1" max="1"/>
    <col width="62" customWidth="1" min="2" max="2"/>
    <col width="19" customWidth="1" min="3" max="3"/>
    <col width="12" customWidth="1" min="4" max="4"/>
    <col width="9" customWidth="1" min="5" max="5"/>
    <col width="11" customWidth="1" min="6" max="7"/>
    <col width="9" customWidth="1" min="8" max="8"/>
    <col width="12" customWidth="1" min="9" max="9"/>
    <col width="8.7265625" customWidth="1" min="10" max="26"/>
  </cols>
  <sheetData>
    <row r="1" ht="15.5" customHeight="1">
      <c r="A1" s="1" t="inlineStr">
        <is>
          <t>Figura: “Planificación acumulada de tareas — Incrementos 1, 2 y 3”</t>
        </is>
      </c>
    </row>
    <row r="2" ht="14.5" customHeight="1">
      <c r="A2" s="2" t="inlineStr">
        <is>
          <t>Sprint 1 · 27-07-2026 a 16-08-2026 (Incremento 1, morado)  ·  Sprint 2 · 24-08-2026 a 13-09-2026 (Incremento 2, azul)  ·  Sprint 3 · 15-09-2026 a 03-10-2026 (Incremento 3, verde)</t>
        </is>
      </c>
    </row>
    <row r="4" ht="14.5" customHeight="1">
      <c r="A4" s="3" t="inlineStr">
        <is>
          <t>ID Tarea</t>
        </is>
      </c>
      <c r="B4" s="3" t="inlineStr">
        <is>
          <t>Descripción de Tarea</t>
        </is>
      </c>
      <c r="C4" s="3" t="inlineStr">
        <is>
          <t>Responsable</t>
        </is>
      </c>
      <c r="D4" s="5" t="inlineStr">
        <is>
          <t>Incremento</t>
        </is>
      </c>
      <c r="E4" s="5" t="inlineStr">
        <is>
          <t>HH Est.</t>
        </is>
      </c>
      <c r="F4" s="5" t="inlineStr">
        <is>
          <t>Inicio</t>
        </is>
      </c>
      <c r="G4" s="5" t="inlineStr">
        <is>
          <t>Fin</t>
        </is>
      </c>
      <c r="H4" s="5" t="inlineStr">
        <is>
          <t>HH Real</t>
        </is>
      </c>
      <c r="I4" s="5" t="inlineStr">
        <is>
          <t>Estado</t>
        </is>
      </c>
    </row>
    <row r="5" ht="14.5" customHeight="1">
      <c r="A5" s="45" t="inlineStr">
        <is>
          <t>SPRINT 1 · INCREMENTO 1 — trabajo heredado (29 tareas)</t>
        </is>
      </c>
      <c r="B5" s="42" t="n"/>
      <c r="C5" s="42" t="n"/>
      <c r="D5" s="42" t="n"/>
      <c r="E5" s="42" t="n"/>
      <c r="F5" s="42" t="n"/>
      <c r="G5" s="42" t="n"/>
      <c r="H5" s="42" t="n"/>
      <c r="I5" s="42" t="n"/>
    </row>
    <row r="6" ht="14.5" customHeight="1">
      <c r="A6" s="41" t="inlineStr">
        <is>
          <t>TA 1 — Levantamiento y análisis</t>
        </is>
      </c>
      <c r="B6" s="42" t="n"/>
      <c r="C6" s="42" t="n"/>
      <c r="D6" s="42" t="n"/>
      <c r="E6" s="42" t="n"/>
      <c r="F6" s="42" t="n"/>
      <c r="G6" s="42" t="n"/>
      <c r="H6" s="42" t="n"/>
      <c r="I6" s="42" t="n"/>
    </row>
    <row r="7" ht="14.5" customHeight="1">
      <c r="A7" s="7" t="inlineStr">
        <is>
          <t>S1-001</t>
        </is>
      </c>
      <c r="B7" s="8" t="inlineStr">
        <is>
          <t>TA 1.1 – Levantando los requerimientos con la contraparte de Constructora M5</t>
        </is>
      </c>
      <c r="C7" s="9" t="inlineStr">
        <is>
          <t>Alexander Hanke</t>
        </is>
      </c>
      <c r="D7" s="10" t="inlineStr">
        <is>
          <t>Incremento 1</t>
        </is>
      </c>
      <c r="E7" s="7" t="n">
        <v>6</v>
      </c>
      <c r="F7" s="7" t="inlineStr">
        <is>
          <t>27-07-2026</t>
        </is>
      </c>
      <c r="G7" s="7" t="inlineStr">
        <is>
          <t>28-07-2026</t>
        </is>
      </c>
      <c r="H7" s="7" t="n">
        <v>6</v>
      </c>
      <c r="I7" s="7" t="inlineStr">
        <is>
          <t>Finalizado</t>
        </is>
      </c>
    </row>
    <row r="8" ht="14.5" customHeight="1">
      <c r="A8" s="7" t="inlineStr">
        <is>
          <t>S1-002</t>
        </is>
      </c>
      <c r="B8" s="8" t="inlineStr">
        <is>
          <t>TA 1.2 – Redactando el Documento 0 con los requerimientos y los casos de uso</t>
        </is>
      </c>
      <c r="C8" s="9" t="inlineStr">
        <is>
          <t>Roberto Seguel</t>
        </is>
      </c>
      <c r="D8" s="10" t="inlineStr">
        <is>
          <t>Incremento 1</t>
        </is>
      </c>
      <c r="E8" s="7" t="n">
        <v>8</v>
      </c>
      <c r="F8" s="7" t="inlineStr">
        <is>
          <t>27-07-2026</t>
        </is>
      </c>
      <c r="G8" s="7" t="inlineStr">
        <is>
          <t>30-07-2026</t>
        </is>
      </c>
      <c r="H8" s="7" t="n">
        <v>10</v>
      </c>
      <c r="I8" s="7" t="inlineStr">
        <is>
          <t>Finalizado</t>
        </is>
      </c>
    </row>
    <row r="9" ht="14.5" customHeight="1">
      <c r="A9" s="7" t="inlineStr">
        <is>
          <t>S1-003</t>
        </is>
      </c>
      <c r="B9" s="8" t="inlineStr">
        <is>
          <t>TA 1.3 – Construyendo la matriz de trazabilidad entre RF, CU y UR</t>
        </is>
      </c>
      <c r="C9" s="9" t="inlineStr">
        <is>
          <t>Roberto Seguel</t>
        </is>
      </c>
      <c r="D9" s="10" t="inlineStr">
        <is>
          <t>Incremento 1</t>
        </is>
      </c>
      <c r="E9" s="7" t="n">
        <v>6</v>
      </c>
      <c r="F9" s="7" t="inlineStr">
        <is>
          <t>29-07-2026</t>
        </is>
      </c>
      <c r="G9" s="7" t="inlineStr">
        <is>
          <t>31-07-2026</t>
        </is>
      </c>
      <c r="H9" s="7" t="n">
        <v>6</v>
      </c>
      <c r="I9" s="7" t="inlineStr">
        <is>
          <t>Finalizado</t>
        </is>
      </c>
    </row>
    <row r="10" ht="14.5" customHeight="1">
      <c r="A10" s="7" t="inlineStr">
        <is>
          <t>S1-004</t>
        </is>
      </c>
      <c r="B10" s="8" t="inlineStr">
        <is>
          <t>TA 1.4 – Definiendo la distribución de los cuatro incrementos del proyecto</t>
        </is>
      </c>
      <c r="C10" s="9" t="inlineStr">
        <is>
          <t>Alexander Hanke</t>
        </is>
      </c>
      <c r="D10" s="10" t="inlineStr">
        <is>
          <t>Incremento 1</t>
        </is>
      </c>
      <c r="E10" s="7" t="n">
        <v>4</v>
      </c>
      <c r="F10" s="7" t="inlineStr">
        <is>
          <t>28-07-2026</t>
        </is>
      </c>
      <c r="G10" s="7" t="inlineStr">
        <is>
          <t>29-07-2026</t>
        </is>
      </c>
      <c r="H10" s="7" t="n">
        <v>4</v>
      </c>
      <c r="I10" s="7" t="inlineStr">
        <is>
          <t>Finalizado</t>
        </is>
      </c>
    </row>
    <row r="11" ht="14.5" customHeight="1">
      <c r="A11" s="41" t="inlineStr">
        <is>
          <t>TA 2 — Arquitectura y base del proyecto</t>
        </is>
      </c>
      <c r="B11" s="42" t="n"/>
      <c r="C11" s="42" t="n"/>
      <c r="D11" s="42" t="n"/>
      <c r="E11" s="42" t="n"/>
      <c r="F11" s="42" t="n"/>
      <c r="G11" s="42" t="n"/>
      <c r="H11" s="42" t="n"/>
      <c r="I11" s="42" t="n"/>
    </row>
    <row r="12" ht="14.5" customHeight="1">
      <c r="A12" s="7" t="inlineStr">
        <is>
          <t>S1-005</t>
        </is>
      </c>
      <c r="B12" s="8" t="inlineStr">
        <is>
          <t>TA 2.1 – Creando el proyecto Django y la estructura de aplicaciones</t>
        </is>
      </c>
      <c r="C12" s="9" t="inlineStr">
        <is>
          <t>Alexander Hanke</t>
        </is>
      </c>
      <c r="D12" s="10" t="inlineStr">
        <is>
          <t>Incremento 1</t>
        </is>
      </c>
      <c r="E12" s="7" t="n">
        <v>6</v>
      </c>
      <c r="F12" s="7" t="inlineStr">
        <is>
          <t>29-07-2026</t>
        </is>
      </c>
      <c r="G12" s="7" t="inlineStr">
        <is>
          <t>31-07-2026</t>
        </is>
      </c>
      <c r="H12" s="7" t="n">
        <v>6</v>
      </c>
      <c r="I12" s="7" t="inlineStr">
        <is>
          <t>Finalizado</t>
        </is>
      </c>
    </row>
    <row r="13" ht="14.5" customHeight="1">
      <c r="A13" s="7" t="inlineStr">
        <is>
          <t>S1-006</t>
        </is>
      </c>
      <c r="B13" s="8" t="inlineStr">
        <is>
          <t>TA 2.2 – Instalando y configurando PostgreSQL en el equipo de desarrollo</t>
        </is>
      </c>
      <c r="C13" s="9" t="inlineStr">
        <is>
          <t>Josué Barrera</t>
        </is>
      </c>
      <c r="D13" s="10" t="inlineStr">
        <is>
          <t>Incremento 1</t>
        </is>
      </c>
      <c r="E13" s="7" t="n">
        <v>6</v>
      </c>
      <c r="F13" s="7" t="inlineStr">
        <is>
          <t>29-07-2026</t>
        </is>
      </c>
      <c r="G13" s="7" t="inlineStr">
        <is>
          <t>30-07-2026</t>
        </is>
      </c>
      <c r="H13" s="7" t="n">
        <v>4</v>
      </c>
      <c r="I13" s="7" t="inlineStr">
        <is>
          <t>Finalizado</t>
        </is>
      </c>
    </row>
    <row r="14" ht="23" customHeight="1">
      <c r="A14" s="7" t="inlineStr">
        <is>
          <t>S1-007</t>
        </is>
      </c>
      <c r="B14" s="8" t="inlineStr">
        <is>
          <t>TA 2.3 – Definiendo el patrón MVC++ y la convención de nombres de vistas y controladores</t>
        </is>
      </c>
      <c r="C14" s="9" t="inlineStr">
        <is>
          <t>Alexander Hanke</t>
        </is>
      </c>
      <c r="D14" s="10" t="inlineStr">
        <is>
          <t>Incremento 1</t>
        </is>
      </c>
      <c r="E14" s="7" t="n">
        <v>4</v>
      </c>
      <c r="F14" s="7" t="inlineStr">
        <is>
          <t>30-07-2026</t>
        </is>
      </c>
      <c r="G14" s="7" t="inlineStr">
        <is>
          <t>31-07-2026</t>
        </is>
      </c>
      <c r="H14" s="7" t="n">
        <v>4</v>
      </c>
      <c r="I14" s="7" t="inlineStr">
        <is>
          <t>Finalizado</t>
        </is>
      </c>
    </row>
    <row r="15" ht="14.5" customHeight="1">
      <c r="A15" s="7" t="inlineStr">
        <is>
          <t>S1-008</t>
        </is>
      </c>
      <c r="B15" s="8" t="inlineStr">
        <is>
          <t>TA 2.4 – Integrando Bootstrap 5 y la plantilla base del sistema</t>
        </is>
      </c>
      <c r="C15" s="9" t="inlineStr">
        <is>
          <t>Josué Barrera</t>
        </is>
      </c>
      <c r="D15" s="10" t="inlineStr">
        <is>
          <t>Incremento 1</t>
        </is>
      </c>
      <c r="E15" s="7" t="n">
        <v>6</v>
      </c>
      <c r="F15" s="7" t="inlineStr">
        <is>
          <t>30-07-2026</t>
        </is>
      </c>
      <c r="G15" s="7" t="inlineStr">
        <is>
          <t>01-08-2026</t>
        </is>
      </c>
      <c r="H15" s="7" t="n">
        <v>6</v>
      </c>
      <c r="I15" s="7" t="inlineStr">
        <is>
          <t>Finalizado</t>
        </is>
      </c>
    </row>
    <row r="16" ht="14.5" customHeight="1">
      <c r="A16" s="41" t="inlineStr">
        <is>
          <t>TA 3 — Desarrollo del incremento</t>
        </is>
      </c>
      <c r="B16" s="42" t="n"/>
      <c r="C16" s="42" t="n"/>
      <c r="D16" s="42" t="n"/>
      <c r="E16" s="42" t="n"/>
      <c r="F16" s="42" t="n"/>
      <c r="G16" s="42" t="n"/>
      <c r="H16" s="42" t="n"/>
      <c r="I16" s="42" t="n"/>
    </row>
    <row r="17" ht="14.5" customHeight="1">
      <c r="A17" s="7" t="inlineStr">
        <is>
          <t>S1-009</t>
        </is>
      </c>
      <c r="B17" s="8" t="inlineStr">
        <is>
          <t>TA 3.1 – Implementando el modelo de usuarios con roles del sistema</t>
        </is>
      </c>
      <c r="C17" s="9" t="inlineStr">
        <is>
          <t>Alexander Hanke</t>
        </is>
      </c>
      <c r="D17" s="10" t="inlineStr">
        <is>
          <t>Incremento 1</t>
        </is>
      </c>
      <c r="E17" s="7" t="n">
        <v>6</v>
      </c>
      <c r="F17" s="7" t="inlineStr">
        <is>
          <t>31-07-2026</t>
        </is>
      </c>
      <c r="G17" s="7" t="inlineStr">
        <is>
          <t>02-08-2026</t>
        </is>
      </c>
      <c r="H17" s="7" t="n">
        <v>6</v>
      </c>
      <c r="I17" s="7" t="inlineStr">
        <is>
          <t>Finalizado</t>
        </is>
      </c>
    </row>
    <row r="18" ht="14.5" customHeight="1">
      <c r="A18" s="7" t="inlineStr">
        <is>
          <t>S1-010</t>
        </is>
      </c>
      <c r="B18" s="8" t="inlineStr">
        <is>
          <t>TA 3.2 – Implementando el inicio y el cierre de sesión</t>
        </is>
      </c>
      <c r="C18" s="9" t="inlineStr">
        <is>
          <t>Josué Barrera</t>
        </is>
      </c>
      <c r="D18" s="10" t="inlineStr">
        <is>
          <t>Incremento 1</t>
        </is>
      </c>
      <c r="E18" s="7" t="n">
        <v>6</v>
      </c>
      <c r="F18" s="7" t="inlineStr">
        <is>
          <t>01-08-2026</t>
        </is>
      </c>
      <c r="G18" s="7" t="inlineStr">
        <is>
          <t>03-08-2026</t>
        </is>
      </c>
      <c r="H18" s="7" t="n">
        <v>6</v>
      </c>
      <c r="I18" s="7" t="inlineStr">
        <is>
          <t>Finalizado</t>
        </is>
      </c>
    </row>
    <row r="19" ht="14.5" customHeight="1">
      <c r="A19" s="7" t="inlineStr">
        <is>
          <t>S1-011</t>
        </is>
      </c>
      <c r="B19" s="8" t="inlineStr">
        <is>
          <t>TA 3.3 – Implementando la creación y la edición de cuentas de usuario</t>
        </is>
      </c>
      <c r="C19" s="9" t="inlineStr">
        <is>
          <t>Alexander Hanke</t>
        </is>
      </c>
      <c r="D19" s="10" t="inlineStr">
        <is>
          <t>Incremento 1</t>
        </is>
      </c>
      <c r="E19" s="7" t="n">
        <v>6</v>
      </c>
      <c r="F19" s="7" t="inlineStr">
        <is>
          <t>02-08-2026</t>
        </is>
      </c>
      <c r="G19" s="7" t="inlineStr">
        <is>
          <t>04-08-2026</t>
        </is>
      </c>
      <c r="H19" s="7" t="n">
        <v>6</v>
      </c>
      <c r="I19" s="7" t="inlineStr">
        <is>
          <t>Finalizado</t>
        </is>
      </c>
    </row>
    <row r="20" ht="23" customHeight="1">
      <c r="A20" s="7" t="inlineStr">
        <is>
          <t>S1-012</t>
        </is>
      </c>
      <c r="B20" s="8" t="inlineStr">
        <is>
          <t>TA 3.4 – Implementando la deshabilitación de cuentas y el control de acceso por rol</t>
        </is>
      </c>
      <c r="C20" s="9" t="inlineStr">
        <is>
          <t>Josué Barrera</t>
        </is>
      </c>
      <c r="D20" s="10" t="inlineStr">
        <is>
          <t>Incremento 1</t>
        </is>
      </c>
      <c r="E20" s="7" t="n">
        <v>4</v>
      </c>
      <c r="F20" s="7" t="inlineStr">
        <is>
          <t>03-08-2026</t>
        </is>
      </c>
      <c r="G20" s="7" t="inlineStr">
        <is>
          <t>05-08-2026</t>
        </is>
      </c>
      <c r="H20" s="7" t="n">
        <v>6</v>
      </c>
      <c r="I20" s="7" t="inlineStr">
        <is>
          <t>Finalizado</t>
        </is>
      </c>
    </row>
    <row r="21" ht="15.75" customHeight="1">
      <c r="A21" s="7" t="inlineStr">
        <is>
          <t>S1-013</t>
        </is>
      </c>
      <c r="B21" s="8" t="inlineStr">
        <is>
          <t>TA 3.5 – Implementando el registro y la edición de proveedores</t>
        </is>
      </c>
      <c r="C21" s="9" t="inlineStr">
        <is>
          <t>Alexander Hanke</t>
        </is>
      </c>
      <c r="D21" s="10" t="inlineStr">
        <is>
          <t>Incremento 1</t>
        </is>
      </c>
      <c r="E21" s="7" t="n">
        <v>6</v>
      </c>
      <c r="F21" s="7" t="inlineStr">
        <is>
          <t>04-08-2026</t>
        </is>
      </c>
      <c r="G21" s="7" t="inlineStr">
        <is>
          <t>06-08-2026</t>
        </is>
      </c>
      <c r="H21" s="7" t="n">
        <v>6</v>
      </c>
      <c r="I21" s="7" t="inlineStr">
        <is>
          <t>Finalizado</t>
        </is>
      </c>
    </row>
    <row r="22" ht="15.75" customHeight="1">
      <c r="A22" s="7" t="inlineStr">
        <is>
          <t>S1-014</t>
        </is>
      </c>
      <c r="B22" s="8" t="inlineStr">
        <is>
          <t>TA 3.6 – Implementando la asignación del jefe de proyecto</t>
        </is>
      </c>
      <c r="C22" s="9" t="inlineStr">
        <is>
          <t>Josué Barrera</t>
        </is>
      </c>
      <c r="D22" s="10" t="inlineStr">
        <is>
          <t>Incremento 1</t>
        </is>
      </c>
      <c r="E22" s="7" t="n">
        <v>6</v>
      </c>
      <c r="F22" s="7" t="inlineStr">
        <is>
          <t>05-08-2026</t>
        </is>
      </c>
      <c r="G22" s="7" t="inlineStr">
        <is>
          <t>07-08-2026</t>
        </is>
      </c>
      <c r="H22" s="7" t="n">
        <v>6</v>
      </c>
      <c r="I22" s="7" t="inlineStr">
        <is>
          <t>Finalizado</t>
        </is>
      </c>
    </row>
    <row r="23" ht="15.75" customHeight="1">
      <c r="A23" s="7" t="inlineStr">
        <is>
          <t>S1-015</t>
        </is>
      </c>
      <c r="B23" s="8" t="inlineStr">
        <is>
          <t>TA 3.7 – Implementando el cambio de estado del proyecto</t>
        </is>
      </c>
      <c r="C23" s="9" t="inlineStr">
        <is>
          <t>Alexander Hanke</t>
        </is>
      </c>
      <c r="D23" s="10" t="inlineStr">
        <is>
          <t>Incremento 1</t>
        </is>
      </c>
      <c r="E23" s="7" t="n">
        <v>6</v>
      </c>
      <c r="F23" s="7" t="inlineStr">
        <is>
          <t>06-08-2026</t>
        </is>
      </c>
      <c r="G23" s="7" t="inlineStr">
        <is>
          <t>08-08-2026</t>
        </is>
      </c>
      <c r="H23" s="7" t="n">
        <v>6</v>
      </c>
      <c r="I23" s="7" t="inlineStr">
        <is>
          <t>Finalizado</t>
        </is>
      </c>
    </row>
    <row r="24" ht="15.75" customHeight="1">
      <c r="A24" s="7" t="inlineStr">
        <is>
          <t>S1-016</t>
        </is>
      </c>
      <c r="B24" s="8" t="inlineStr">
        <is>
          <t>TA 3.8 – Implementando la creación de la solicitud de materiales</t>
        </is>
      </c>
      <c r="C24" s="9" t="inlineStr">
        <is>
          <t>Josué Barrera</t>
        </is>
      </c>
      <c r="D24" s="10" t="inlineStr">
        <is>
          <t>Incremento 1</t>
        </is>
      </c>
      <c r="E24" s="7" t="n">
        <v>4</v>
      </c>
      <c r="F24" s="7" t="inlineStr">
        <is>
          <t>07-08-2026</t>
        </is>
      </c>
      <c r="G24" s="7" t="inlineStr">
        <is>
          <t>09-08-2026</t>
        </is>
      </c>
      <c r="H24" s="7" t="n">
        <v>6</v>
      </c>
      <c r="I24" s="7" t="inlineStr">
        <is>
          <t>Finalizado</t>
        </is>
      </c>
    </row>
    <row r="25" ht="15.75" customHeight="1">
      <c r="A25" s="7" t="inlineStr">
        <is>
          <t>S1-017</t>
        </is>
      </c>
      <c r="B25" s="8" t="inlineStr">
        <is>
          <t>TA 3.9 – Implementando el detalle y la edición de la solicitud de materiales</t>
        </is>
      </c>
      <c r="C25" s="9" t="inlineStr">
        <is>
          <t>Alexander Hanke</t>
        </is>
      </c>
      <c r="D25" s="10" t="inlineStr">
        <is>
          <t>Incremento 1</t>
        </is>
      </c>
      <c r="E25" s="7" t="n">
        <v>6</v>
      </c>
      <c r="F25" s="7" t="inlineStr">
        <is>
          <t>08-08-2026</t>
        </is>
      </c>
      <c r="G25" s="7" t="inlineStr">
        <is>
          <t>10-08-2026</t>
        </is>
      </c>
      <c r="H25" s="7" t="n">
        <v>6</v>
      </c>
      <c r="I25" s="7" t="inlineStr">
        <is>
          <t>Finalizado</t>
        </is>
      </c>
    </row>
    <row r="26" ht="15.75" customHeight="1">
      <c r="A26" s="7" t="inlineStr">
        <is>
          <t>S1-018</t>
        </is>
      </c>
      <c r="B26" s="8" t="inlineStr">
        <is>
          <t>TA 3.10 – Implementando la consulta y el seguimiento de solicitudes</t>
        </is>
      </c>
      <c r="C26" s="9" t="inlineStr">
        <is>
          <t>Josué Barrera</t>
        </is>
      </c>
      <c r="D26" s="10" t="inlineStr">
        <is>
          <t>Incremento 1</t>
        </is>
      </c>
      <c r="E26" s="7" t="n">
        <v>6</v>
      </c>
      <c r="F26" s="7" t="inlineStr">
        <is>
          <t>09-08-2026</t>
        </is>
      </c>
      <c r="G26" s="7" t="inlineStr">
        <is>
          <t>11-08-2026</t>
        </is>
      </c>
      <c r="H26" s="7" t="n">
        <v>6</v>
      </c>
      <c r="I26" s="7" t="inlineStr">
        <is>
          <t>Finalizado</t>
        </is>
      </c>
    </row>
    <row r="27" ht="15.75" customHeight="1">
      <c r="A27" s="7" t="inlineStr">
        <is>
          <t>S1-019</t>
        </is>
      </c>
      <c r="B27" s="8" t="inlineStr">
        <is>
          <t>TA 3.11 – Implementando el panel principal con el menú según el rol</t>
        </is>
      </c>
      <c r="C27" s="9" t="inlineStr">
        <is>
          <t>Alexander Hanke</t>
        </is>
      </c>
      <c r="D27" s="10" t="inlineStr">
        <is>
          <t>Incremento 1</t>
        </is>
      </c>
      <c r="E27" s="7" t="n">
        <v>6</v>
      </c>
      <c r="F27" s="7" t="inlineStr">
        <is>
          <t>10-08-2026</t>
        </is>
      </c>
      <c r="G27" s="7" t="inlineStr">
        <is>
          <t>12-08-2026</t>
        </is>
      </c>
      <c r="H27" s="7" t="n">
        <v>6</v>
      </c>
      <c r="I27" s="7" t="inlineStr">
        <is>
          <t>Finalizado</t>
        </is>
      </c>
    </row>
    <row r="28" ht="15.75" customHeight="1">
      <c r="A28" s="7" t="inlineStr">
        <is>
          <t>S1-020</t>
        </is>
      </c>
      <c r="B28" s="8" t="inlineStr">
        <is>
          <t>TA 3.12 – Cargando los datos de prueba iniciales en la base de datos</t>
        </is>
      </c>
      <c r="C28" s="9" t="inlineStr">
        <is>
          <t>Josué Barrera</t>
        </is>
      </c>
      <c r="D28" s="10" t="inlineStr">
        <is>
          <t>Incremento 1</t>
        </is>
      </c>
      <c r="E28" s="7" t="n">
        <v>6</v>
      </c>
      <c r="F28" s="7" t="inlineStr">
        <is>
          <t>11-08-2026</t>
        </is>
      </c>
      <c r="G28" s="7" t="inlineStr">
        <is>
          <t>12-08-2026</t>
        </is>
      </c>
      <c r="H28" s="7" t="n">
        <v>4</v>
      </c>
      <c r="I28" s="7" t="inlineStr">
        <is>
          <t>Finalizado</t>
        </is>
      </c>
    </row>
    <row r="29" ht="15.75" customHeight="1">
      <c r="A29" s="41" t="inlineStr">
        <is>
          <t>TA 4 — Modelado y documentación</t>
        </is>
      </c>
      <c r="B29" s="42" t="n"/>
      <c r="C29" s="42" t="n"/>
      <c r="D29" s="42" t="n"/>
      <c r="E29" s="42" t="n"/>
      <c r="F29" s="42" t="n"/>
      <c r="G29" s="42" t="n"/>
      <c r="H29" s="42" t="n"/>
      <c r="I29" s="42" t="n"/>
    </row>
    <row r="30" ht="15.75" customHeight="1">
      <c r="A30" s="7" t="inlineStr">
        <is>
          <t>S1-021</t>
        </is>
      </c>
      <c r="B30" s="8" t="inlineStr">
        <is>
          <t>TA 4.1 – Realizando el modelo entidad-relación del incremento</t>
        </is>
      </c>
      <c r="C30" s="9" t="inlineStr">
        <is>
          <t>Roberto Seguel</t>
        </is>
      </c>
      <c r="D30" s="10" t="inlineStr">
        <is>
          <t>Incremento 1</t>
        </is>
      </c>
      <c r="E30" s="7" t="n">
        <v>6</v>
      </c>
      <c r="F30" s="7" t="inlineStr">
        <is>
          <t>01-08-2026</t>
        </is>
      </c>
      <c r="G30" s="7" t="inlineStr">
        <is>
          <t>03-08-2026</t>
        </is>
      </c>
      <c r="H30" s="7" t="n">
        <v>6</v>
      </c>
      <c r="I30" s="7" t="inlineStr">
        <is>
          <t>Finalizado</t>
        </is>
      </c>
    </row>
    <row r="31" ht="15.75" customHeight="1">
      <c r="A31" s="7" t="inlineStr">
        <is>
          <t>S1-022</t>
        </is>
      </c>
      <c r="B31" s="8" t="inlineStr">
        <is>
          <t>TA 4.2 – Realizando el diagrama de casos de uso del sistema</t>
        </is>
      </c>
      <c r="C31" s="9" t="inlineStr">
        <is>
          <t>Roberto Seguel</t>
        </is>
      </c>
      <c r="D31" s="10" t="inlineStr">
        <is>
          <t>Incremento 1</t>
        </is>
      </c>
      <c r="E31" s="7" t="n">
        <v>4</v>
      </c>
      <c r="F31" s="7" t="inlineStr">
        <is>
          <t>03-08-2026</t>
        </is>
      </c>
      <c r="G31" s="7" t="inlineStr">
        <is>
          <t>04-08-2026</t>
        </is>
      </c>
      <c r="H31" s="7" t="n">
        <v>4</v>
      </c>
      <c r="I31" s="7" t="inlineStr">
        <is>
          <t>Finalizado</t>
        </is>
      </c>
    </row>
    <row r="32" ht="15.75" customHeight="1">
      <c r="A32" s="7" t="inlineStr">
        <is>
          <t>S1-023</t>
        </is>
      </c>
      <c r="B32" s="8" t="inlineStr">
        <is>
          <t>TA 4.3 – Realizando los diagramas de secuencia del incremento</t>
        </is>
      </c>
      <c r="C32" s="9" t="inlineStr">
        <is>
          <t>Roberto Seguel</t>
        </is>
      </c>
      <c r="D32" s="10" t="inlineStr">
        <is>
          <t>Incremento 1</t>
        </is>
      </c>
      <c r="E32" s="7" t="n">
        <v>6</v>
      </c>
      <c r="F32" s="7" t="inlineStr">
        <is>
          <t>05-08-2026</t>
        </is>
      </c>
      <c r="G32" s="7" t="inlineStr">
        <is>
          <t>09-08-2026</t>
        </is>
      </c>
      <c r="H32" s="7" t="n">
        <v>8</v>
      </c>
      <c r="I32" s="7" t="inlineStr">
        <is>
          <t>Finalizado</t>
        </is>
      </c>
    </row>
    <row r="33" ht="15.75" customHeight="1">
      <c r="A33" s="7" t="inlineStr">
        <is>
          <t>S1-024</t>
        </is>
      </c>
      <c r="B33" s="8" t="inlineStr">
        <is>
          <t>TA 4.4 – Realizando el diagrama de despliegue inicial</t>
        </is>
      </c>
      <c r="C33" s="9" t="inlineStr">
        <is>
          <t>Roberto Seguel</t>
        </is>
      </c>
      <c r="D33" s="10" t="inlineStr">
        <is>
          <t>Incremento 1</t>
        </is>
      </c>
      <c r="E33" s="7" t="n">
        <v>4</v>
      </c>
      <c r="F33" s="7" t="inlineStr">
        <is>
          <t>09-08-2026</t>
        </is>
      </c>
      <c r="G33" s="7" t="inlineStr">
        <is>
          <t>10-08-2026</t>
        </is>
      </c>
      <c r="H33" s="7" t="n">
        <v>4</v>
      </c>
      <c r="I33" s="7" t="inlineStr">
        <is>
          <t>Finalizado</t>
        </is>
      </c>
    </row>
    <row r="34" ht="15.75" customHeight="1">
      <c r="A34" s="7" t="inlineStr">
        <is>
          <t>S1-025</t>
        </is>
      </c>
      <c r="B34" s="8" t="inlineStr">
        <is>
          <t>TA 4.5 – Redactando el informe del Incremento 1</t>
        </is>
      </c>
      <c r="C34" s="9" t="inlineStr">
        <is>
          <t>Roberto Seguel</t>
        </is>
      </c>
      <c r="D34" s="10" t="inlineStr">
        <is>
          <t>Incremento 1</t>
        </is>
      </c>
      <c r="E34" s="7" t="n">
        <v>6</v>
      </c>
      <c r="F34" s="7" t="inlineStr">
        <is>
          <t>10-08-2026</t>
        </is>
      </c>
      <c r="G34" s="7" t="inlineStr">
        <is>
          <t>14-08-2026</t>
        </is>
      </c>
      <c r="H34" s="7" t="n">
        <v>8</v>
      </c>
      <c r="I34" s="7" t="inlineStr">
        <is>
          <t>Finalizado</t>
        </is>
      </c>
    </row>
    <row r="35" ht="15.75" customHeight="1">
      <c r="A35" s="7" t="inlineStr">
        <is>
          <t>S1-026</t>
        </is>
      </c>
      <c r="B35" s="8" t="inlineStr">
        <is>
          <t>TA 4.6 – Construyendo la tabla de esfuerzo y las gráficas del sprint</t>
        </is>
      </c>
      <c r="C35" s="9" t="inlineStr">
        <is>
          <t>Roberto Seguel</t>
        </is>
      </c>
      <c r="D35" s="10" t="inlineStr">
        <is>
          <t>Incremento 1</t>
        </is>
      </c>
      <c r="E35" s="7" t="n">
        <v>4</v>
      </c>
      <c r="F35" s="7" t="inlineStr">
        <is>
          <t>13-08-2026</t>
        </is>
      </c>
      <c r="G35" s="7" t="inlineStr">
        <is>
          <t>14-08-2026</t>
        </is>
      </c>
      <c r="H35" s="7" t="n">
        <v>4</v>
      </c>
      <c r="I35" s="7" t="inlineStr">
        <is>
          <t>Finalizado</t>
        </is>
      </c>
    </row>
    <row r="36" ht="15.75" customHeight="1">
      <c r="A36" s="41" t="inlineStr">
        <is>
          <t>TA 5 — Pruebas y verificación</t>
        </is>
      </c>
      <c r="B36" s="42" t="n"/>
      <c r="C36" s="42" t="n"/>
      <c r="D36" s="42" t="n"/>
      <c r="E36" s="42" t="n"/>
      <c r="F36" s="42" t="n"/>
      <c r="G36" s="42" t="n"/>
      <c r="H36" s="42" t="n"/>
      <c r="I36" s="42" t="n"/>
    </row>
    <row r="37" ht="15.75" customHeight="1">
      <c r="A37" s="7" t="inlineStr">
        <is>
          <t>S1-027</t>
        </is>
      </c>
      <c r="B37" s="8" t="inlineStr">
        <is>
          <t>TA 5.1 – Ejecutando las pruebas de caja negra de los casos de uso del incremento</t>
        </is>
      </c>
      <c r="C37" s="9" t="inlineStr">
        <is>
          <t>Josué Barrera</t>
        </is>
      </c>
      <c r="D37" s="10" t="inlineStr">
        <is>
          <t>Incremento 1</t>
        </is>
      </c>
      <c r="E37" s="7" t="n">
        <v>6</v>
      </c>
      <c r="F37" s="7" t="inlineStr">
        <is>
          <t>12-08-2026</t>
        </is>
      </c>
      <c r="G37" s="7" t="inlineStr">
        <is>
          <t>14-08-2026</t>
        </is>
      </c>
      <c r="H37" s="7" t="n">
        <v>6</v>
      </c>
      <c r="I37" s="7" t="inlineStr">
        <is>
          <t>Finalizado</t>
        </is>
      </c>
    </row>
    <row r="38" ht="15.75" customHeight="1">
      <c r="A38" s="7" t="inlineStr">
        <is>
          <t>S1-028</t>
        </is>
      </c>
      <c r="B38" s="8" t="inlineStr">
        <is>
          <t>TA 5.2 – Documentando los casos de prueba y su evidencia</t>
        </is>
      </c>
      <c r="C38" s="9" t="inlineStr">
        <is>
          <t>Roberto Seguel</t>
        </is>
      </c>
      <c r="D38" s="10" t="inlineStr">
        <is>
          <t>Incremento 1</t>
        </is>
      </c>
      <c r="E38" s="7" t="n">
        <v>4</v>
      </c>
      <c r="F38" s="7" t="inlineStr">
        <is>
          <t>13-08-2026</t>
        </is>
      </c>
      <c r="G38" s="7" t="inlineStr">
        <is>
          <t>15-08-2026</t>
        </is>
      </c>
      <c r="H38" s="7" t="n">
        <v>4</v>
      </c>
      <c r="I38" s="7" t="inlineStr">
        <is>
          <t>Finalizado</t>
        </is>
      </c>
    </row>
    <row r="39" ht="15.75" customHeight="1">
      <c r="A39" s="7" t="inlineStr">
        <is>
          <t>S1-029</t>
        </is>
      </c>
      <c r="B39" s="8" t="inlineStr">
        <is>
          <t>TA 5.3 – Corrigiendo los hallazgos levantados en las pruebas</t>
        </is>
      </c>
      <c r="C39" s="9" t="inlineStr">
        <is>
          <t>Josué Barrera</t>
        </is>
      </c>
      <c r="D39" s="10" t="inlineStr">
        <is>
          <t>Incremento 1</t>
        </is>
      </c>
      <c r="E39" s="7" t="n">
        <v>4</v>
      </c>
      <c r="F39" s="7" t="inlineStr">
        <is>
          <t>14-08-2026</t>
        </is>
      </c>
      <c r="G39" s="7" t="inlineStr">
        <is>
          <t>16-08-2026</t>
        </is>
      </c>
      <c r="H39" s="7" t="n">
        <v>4</v>
      </c>
      <c r="I39" s="7" t="inlineStr">
        <is>
          <t>Finalizado</t>
        </is>
      </c>
    </row>
    <row r="40" ht="15.75" customHeight="1">
      <c r="A40" s="43" t="inlineStr">
        <is>
          <t>Subtotal Sprint 1 · Incremento 1</t>
        </is>
      </c>
      <c r="B40" s="42" t="n"/>
      <c r="C40" s="42" t="n"/>
      <c r="D40" s="44" t="n"/>
      <c r="E40" s="20">
        <f>SUM(E7:E39)</f>
        <v/>
      </c>
      <c r="F40" s="16" t="n"/>
      <c r="G40" s="16" t="n"/>
      <c r="H40" s="20">
        <f>SUM(H7:H39)</f>
        <v/>
      </c>
      <c r="I40" s="16" t="n"/>
    </row>
    <row r="41" ht="15.75" customHeight="1"/>
    <row r="42" ht="15.75" customHeight="1">
      <c r="A42" s="46" t="inlineStr">
        <is>
          <t>SPRINT 2 · INCREMENTO 2 — trabajo nuevo (52 tareas)</t>
        </is>
      </c>
      <c r="B42" s="42" t="n"/>
      <c r="C42" s="42" t="n"/>
      <c r="D42" s="42" t="n"/>
      <c r="E42" s="42" t="n"/>
      <c r="F42" s="42" t="n"/>
      <c r="G42" s="42" t="n"/>
      <c r="H42" s="42" t="n"/>
      <c r="I42" s="42" t="n"/>
    </row>
    <row r="43" ht="15.75" customHeight="1">
      <c r="A43" s="7" t="inlineStr">
        <is>
          <t>T-001</t>
        </is>
      </c>
      <c r="B43" s="8" t="inlineStr">
        <is>
          <t>TA 1.1 – Montando la máquina virtual Ubuntu Server en el servidor HP ProLiant DL20</t>
        </is>
      </c>
      <c r="C43" s="9" t="inlineStr">
        <is>
          <t>Matías Medina</t>
        </is>
      </c>
      <c r="D43" s="22" t="inlineStr">
        <is>
          <t>Incremento 2</t>
        </is>
      </c>
      <c r="E43" s="7" t="n">
        <v>4</v>
      </c>
      <c r="F43" s="7" t="inlineStr">
        <is>
          <t>24-08-2026</t>
        </is>
      </c>
      <c r="G43" s="7" t="inlineStr">
        <is>
          <t>25-08-2026</t>
        </is>
      </c>
      <c r="H43" s="7" t="n">
        <v>6</v>
      </c>
      <c r="I43" s="7" t="inlineStr">
        <is>
          <t>Finalizado</t>
        </is>
      </c>
    </row>
    <row r="44" ht="15.75" customHeight="1">
      <c r="A44" s="7" t="inlineStr">
        <is>
          <t>T-002</t>
        </is>
      </c>
      <c r="B44" s="8" t="inlineStr">
        <is>
          <t>TA 1.2 – Configurando el acceso del servidor a través del firewall Fortinet 30E</t>
        </is>
      </c>
      <c r="C44" s="9" t="inlineStr">
        <is>
          <t>Matías Medina</t>
        </is>
      </c>
      <c r="D44" s="22" t="inlineStr">
        <is>
          <t>Incremento 2</t>
        </is>
      </c>
      <c r="E44" s="7" t="n">
        <v>6</v>
      </c>
      <c r="F44" s="7" t="inlineStr">
        <is>
          <t>24-08-2026</t>
        </is>
      </c>
      <c r="G44" s="7" t="inlineStr">
        <is>
          <t>25-08-2026</t>
        </is>
      </c>
      <c r="H44" s="7" t="n">
        <v>6</v>
      </c>
      <c r="I44" s="7" t="inlineStr">
        <is>
          <t>Finalizado</t>
        </is>
      </c>
    </row>
    <row r="45" ht="15.75" customHeight="1">
      <c r="A45" s="7" t="inlineStr">
        <is>
          <t>T-003</t>
        </is>
      </c>
      <c r="B45" s="8" t="inlineStr">
        <is>
          <t>TA 1.3 – Instalando y configurando PostgreSQL en la máquina virtual</t>
        </is>
      </c>
      <c r="C45" s="9" t="inlineStr">
        <is>
          <t>Cristóbal López</t>
        </is>
      </c>
      <c r="D45" s="22" t="inlineStr">
        <is>
          <t>Incremento 2</t>
        </is>
      </c>
      <c r="E45" s="7" t="n">
        <v>6</v>
      </c>
      <c r="F45" s="7" t="inlineStr">
        <is>
          <t>25-08-2026</t>
        </is>
      </c>
      <c r="G45" s="7" t="inlineStr">
        <is>
          <t>26-08-2026</t>
        </is>
      </c>
      <c r="H45" s="7" t="n">
        <v>6</v>
      </c>
      <c r="I45" s="7" t="inlineStr">
        <is>
          <t>Finalizado</t>
        </is>
      </c>
    </row>
    <row r="46" ht="15.75" customHeight="1">
      <c r="A46" s="7" t="inlineStr">
        <is>
          <t>T-004</t>
        </is>
      </c>
      <c r="B46" s="8" t="inlineStr">
        <is>
          <t>TA 1.4 – Configurando el entorno Django y las variables de despliegue</t>
        </is>
      </c>
      <c r="C46" s="9" t="inlineStr">
        <is>
          <t>Cristóbal López</t>
        </is>
      </c>
      <c r="D46" s="22" t="inlineStr">
        <is>
          <t>Incremento 2</t>
        </is>
      </c>
      <c r="E46" s="7" t="n">
        <v>6</v>
      </c>
      <c r="F46" s="7" t="inlineStr">
        <is>
          <t>25-08-2026</t>
        </is>
      </c>
      <c r="G46" s="7" t="inlineStr">
        <is>
          <t>27-08-2026</t>
        </is>
      </c>
      <c r="H46" s="7" t="n">
        <v>6</v>
      </c>
      <c r="I46" s="7" t="inlineStr">
        <is>
          <t>Finalizado</t>
        </is>
      </c>
    </row>
    <row r="47" ht="15.75" customHeight="1">
      <c r="A47" s="7" t="inlineStr">
        <is>
          <t>T-005</t>
        </is>
      </c>
      <c r="B47" s="8" t="inlineStr">
        <is>
          <t>TA 1.5 – Publicando el sistema con Gunicorn y WSGI</t>
        </is>
      </c>
      <c r="C47" s="9" t="inlineStr">
        <is>
          <t>Matías Medina</t>
        </is>
      </c>
      <c r="D47" s="22" t="inlineStr">
        <is>
          <t>Incremento 2</t>
        </is>
      </c>
      <c r="E47" s="7" t="n">
        <v>6</v>
      </c>
      <c r="F47" s="7" t="inlineStr">
        <is>
          <t>26-08-2026</t>
        </is>
      </c>
      <c r="G47" s="7" t="inlineStr">
        <is>
          <t>27-08-2026</t>
        </is>
      </c>
      <c r="H47" s="7" t="n">
        <v>6</v>
      </c>
      <c r="I47" s="7" t="inlineStr">
        <is>
          <t>Finalizado</t>
        </is>
      </c>
    </row>
    <row r="48" ht="15.75" customHeight="1">
      <c r="A48" s="7" t="inlineStr">
        <is>
          <t>T-006</t>
        </is>
      </c>
      <c r="B48" s="8" t="inlineStr">
        <is>
          <t>TA 1.6 – Configurando el respaldo automático de la base de datos</t>
        </is>
      </c>
      <c r="C48" s="9" t="inlineStr">
        <is>
          <t>Cristóbal López</t>
        </is>
      </c>
      <c r="D48" s="22" t="inlineStr">
        <is>
          <t>Incremento 2</t>
        </is>
      </c>
      <c r="E48" s="7" t="n">
        <v>6</v>
      </c>
      <c r="F48" s="7" t="inlineStr">
        <is>
          <t>27-08-2026</t>
        </is>
      </c>
      <c r="G48" s="7" t="inlineStr">
        <is>
          <t>28-08-2026</t>
        </is>
      </c>
      <c r="H48" s="7" t="n">
        <v>4</v>
      </c>
      <c r="I48" s="7" t="inlineStr">
        <is>
          <t>Finalizado</t>
        </is>
      </c>
    </row>
    <row r="49" ht="15.75" customHeight="1">
      <c r="A49" s="7" t="inlineStr">
        <is>
          <t>T-007</t>
        </is>
      </c>
      <c r="B49" s="8" t="inlineStr">
        <is>
          <t>TA 2.1 – Ampliando el modelo de datos y generando las migraciones</t>
        </is>
      </c>
      <c r="C49" s="9" t="inlineStr">
        <is>
          <t>Matías Medina</t>
        </is>
      </c>
      <c r="D49" s="22" t="inlineStr">
        <is>
          <t>Incremento 2</t>
        </is>
      </c>
      <c r="E49" s="7" t="n">
        <v>6</v>
      </c>
      <c r="F49" s="7" t="inlineStr">
        <is>
          <t>26-08-2026</t>
        </is>
      </c>
      <c r="G49" s="7" t="inlineStr">
        <is>
          <t>28-08-2026</t>
        </is>
      </c>
      <c r="H49" s="7" t="n">
        <v>6</v>
      </c>
      <c r="I49" s="7" t="inlineStr">
        <is>
          <t>Finalizado</t>
        </is>
      </c>
    </row>
    <row r="50" ht="15.75" customHeight="1">
      <c r="A50" s="7" t="inlineStr">
        <is>
          <t>T-008</t>
        </is>
      </c>
      <c r="B50" s="8" t="inlineStr">
        <is>
          <t>TA 2.2 – Completando el mantenedor de proveedores y su listado de materiales</t>
        </is>
      </c>
      <c r="C50" s="9" t="inlineStr">
        <is>
          <t>Cristóbal López</t>
        </is>
      </c>
      <c r="D50" s="22" t="inlineStr">
        <is>
          <t>Incremento 2</t>
        </is>
      </c>
      <c r="E50" s="7" t="n">
        <v>8</v>
      </c>
      <c r="F50" s="7" t="inlineStr">
        <is>
          <t>27-08-2026</t>
        </is>
      </c>
      <c r="G50" s="7" t="inlineStr">
        <is>
          <t>29-08-2026</t>
        </is>
      </c>
      <c r="H50" s="7" t="n">
        <v>8</v>
      </c>
      <c r="I50" s="7" t="inlineStr">
        <is>
          <t>Finalizado</t>
        </is>
      </c>
    </row>
    <row r="51" ht="15.75" customHeight="1">
      <c r="A51" s="7" t="inlineStr">
        <is>
          <t>T-009</t>
        </is>
      </c>
      <c r="B51" s="8" t="inlineStr">
        <is>
          <t>TA 2.3 – Completando el registro de proyectos y la carga del itemizado</t>
        </is>
      </c>
      <c r="C51" s="9" t="inlineStr">
        <is>
          <t>Matías Medina</t>
        </is>
      </c>
      <c r="D51" s="22" t="inlineStr">
        <is>
          <t>Incremento 2</t>
        </is>
      </c>
      <c r="E51" s="7" t="n">
        <v>8</v>
      </c>
      <c r="F51" s="7" t="inlineStr">
        <is>
          <t>27-08-2026</t>
        </is>
      </c>
      <c r="G51" s="7" t="inlineStr">
        <is>
          <t>29-08-2026</t>
        </is>
      </c>
      <c r="H51" s="7" t="n">
        <v>8</v>
      </c>
      <c r="I51" s="7" t="inlineStr">
        <is>
          <t>Finalizado</t>
        </is>
      </c>
    </row>
    <row r="52" ht="15.75" customHeight="1">
      <c r="A52" s="7" t="inlineStr">
        <is>
          <t>T-010</t>
        </is>
      </c>
      <c r="B52" s="8" t="inlineStr">
        <is>
          <t>TA 2.4 – Implementando las notificaciones de cambio de estado de la solicitud</t>
        </is>
      </c>
      <c r="C52" s="9" t="inlineStr">
        <is>
          <t>Cristóbal López</t>
        </is>
      </c>
      <c r="D52" s="22" t="inlineStr">
        <is>
          <t>Incremento 2</t>
        </is>
      </c>
      <c r="E52" s="7" t="n">
        <v>6</v>
      </c>
      <c r="F52" s="7" t="inlineStr">
        <is>
          <t>28-08-2026</t>
        </is>
      </c>
      <c r="G52" s="7" t="inlineStr">
        <is>
          <t>30-08-2026</t>
        </is>
      </c>
      <c r="H52" s="7" t="n">
        <v>6</v>
      </c>
      <c r="I52" s="7" t="inlineStr">
        <is>
          <t>Finalizado</t>
        </is>
      </c>
    </row>
    <row r="53" ht="15.75" customHeight="1">
      <c r="A53" s="7" t="inlineStr">
        <is>
          <t>T-011</t>
        </is>
      </c>
      <c r="B53" s="8" t="inlineStr">
        <is>
          <t>TA 2.5 – Implementando el registro de cotizaciones por solicitud</t>
        </is>
      </c>
      <c r="C53" s="9" t="inlineStr">
        <is>
          <t>Matías Medina</t>
        </is>
      </c>
      <c r="D53" s="22" t="inlineStr">
        <is>
          <t>Incremento 2</t>
        </is>
      </c>
      <c r="E53" s="7" t="n">
        <v>6</v>
      </c>
      <c r="F53" s="7" t="inlineStr">
        <is>
          <t>28-08-2026</t>
        </is>
      </c>
      <c r="G53" s="7" t="inlineStr">
        <is>
          <t>31-08-2026</t>
        </is>
      </c>
      <c r="H53" s="7" t="n">
        <v>6</v>
      </c>
      <c r="I53" s="7" t="inlineStr">
        <is>
          <t>Finalizado</t>
        </is>
      </c>
    </row>
    <row r="54" ht="15.75" customHeight="1">
      <c r="A54" s="7" t="inlineStr">
        <is>
          <t>T-012</t>
        </is>
      </c>
      <c r="B54" s="8" t="inlineStr">
        <is>
          <t>TA 2.6 – Implementando el cálculo automático del valor total de la cotización</t>
        </is>
      </c>
      <c r="C54" s="9" t="inlineStr">
        <is>
          <t>Cristóbal López</t>
        </is>
      </c>
      <c r="D54" s="22" t="inlineStr">
        <is>
          <t>Incremento 2</t>
        </is>
      </c>
      <c r="E54" s="7" t="n">
        <v>6</v>
      </c>
      <c r="F54" s="7" t="inlineStr">
        <is>
          <t>30-08-2026</t>
        </is>
      </c>
      <c r="G54" s="7" t="inlineStr">
        <is>
          <t>01-09-2026</t>
        </is>
      </c>
      <c r="H54" s="7" t="n">
        <v>6</v>
      </c>
      <c r="I54" s="7" t="inlineStr">
        <is>
          <t>Finalizado</t>
        </is>
      </c>
    </row>
    <row r="55" ht="15.75" customHeight="1">
      <c r="A55" s="7" t="inlineStr">
        <is>
          <t>T-013</t>
        </is>
      </c>
      <c r="B55" s="8" t="inlineStr">
        <is>
          <t>TA 2.7 – Implementando la aprobación y el descarte de líneas de cotización</t>
        </is>
      </c>
      <c r="C55" s="9" t="inlineStr">
        <is>
          <t>Matías Medina</t>
        </is>
      </c>
      <c r="D55" s="22" t="inlineStr">
        <is>
          <t>Incremento 2</t>
        </is>
      </c>
      <c r="E55" s="7" t="n">
        <v>6</v>
      </c>
      <c r="F55" s="7" t="inlineStr">
        <is>
          <t>31-08-2026</t>
        </is>
      </c>
      <c r="G55" s="7" t="inlineStr">
        <is>
          <t>02-09-2026</t>
        </is>
      </c>
      <c r="H55" s="7" t="n">
        <v>6</v>
      </c>
      <c r="I55" s="7" t="inlineStr">
        <is>
          <t>Finalizado</t>
        </is>
      </c>
    </row>
    <row r="56" ht="15.75" customHeight="1">
      <c r="A56" s="7" t="inlineStr">
        <is>
          <t>T-014</t>
        </is>
      </c>
      <c r="B56" s="8" t="inlineStr">
        <is>
          <t>TA 2.8 – Implementando la generación de órdenes de compra por proveedor</t>
        </is>
      </c>
      <c r="C56" s="9" t="inlineStr">
        <is>
          <t>Cristóbal López</t>
        </is>
      </c>
      <c r="D56" s="22" t="inlineStr">
        <is>
          <t>Incremento 2</t>
        </is>
      </c>
      <c r="E56" s="7" t="n">
        <v>6</v>
      </c>
      <c r="F56" s="7" t="inlineStr">
        <is>
          <t>01-09-2026</t>
        </is>
      </c>
      <c r="G56" s="7" t="inlineStr">
        <is>
          <t>04-09-2026</t>
        </is>
      </c>
      <c r="H56" s="7" t="n">
        <v>8</v>
      </c>
      <c r="I56" s="7" t="inlineStr">
        <is>
          <t>Finalizado</t>
        </is>
      </c>
    </row>
    <row r="57" ht="15.75" customHeight="1">
      <c r="A57" s="7" t="inlineStr">
        <is>
          <t>T-015</t>
        </is>
      </c>
      <c r="B57" s="8" t="inlineStr">
        <is>
          <t>TA 2.9 – Implementando la aprobación y el rechazo de órdenes de compra</t>
        </is>
      </c>
      <c r="C57" s="9" t="inlineStr">
        <is>
          <t>Matías Medina</t>
        </is>
      </c>
      <c r="D57" s="22" t="inlineStr">
        <is>
          <t>Incremento 2</t>
        </is>
      </c>
      <c r="E57" s="7" t="n">
        <v>6</v>
      </c>
      <c r="F57" s="7" t="inlineStr">
        <is>
          <t>02-09-2026</t>
        </is>
      </c>
      <c r="G57" s="7" t="inlineStr">
        <is>
          <t>04-09-2026</t>
        </is>
      </c>
      <c r="H57" s="7" t="n">
        <v>6</v>
      </c>
      <c r="I57" s="7" t="inlineStr">
        <is>
          <t>Finalizado</t>
        </is>
      </c>
    </row>
    <row r="58" ht="15.75" customHeight="1">
      <c r="A58" s="7" t="inlineStr">
        <is>
          <t>T-016</t>
        </is>
      </c>
      <c r="B58" s="8" t="inlineStr">
        <is>
          <t>TA 2.10 – Implementando la exportación de la orden de compra a PDF</t>
        </is>
      </c>
      <c r="C58" s="9" t="inlineStr">
        <is>
          <t>Cristóbal López</t>
        </is>
      </c>
      <c r="D58" s="22" t="inlineStr">
        <is>
          <t>Incremento 2</t>
        </is>
      </c>
      <c r="E58" s="7" t="n">
        <v>8</v>
      </c>
      <c r="F58" s="7" t="inlineStr">
        <is>
          <t>03-09-2026</t>
        </is>
      </c>
      <c r="G58" s="7" t="inlineStr">
        <is>
          <t>05-09-2026</t>
        </is>
      </c>
      <c r="H58" s="7" t="n">
        <v>8</v>
      </c>
      <c r="I58" s="7" t="inlineStr">
        <is>
          <t>Finalizado</t>
        </is>
      </c>
    </row>
    <row r="59" ht="15.75" customHeight="1">
      <c r="A59" s="7" t="inlineStr">
        <is>
          <t>T-017</t>
        </is>
      </c>
      <c r="B59" s="8" t="inlineStr">
        <is>
          <t>TA 2.11 – Implementando el envío automático de la orden de compra al proveedor</t>
        </is>
      </c>
      <c r="C59" s="9" t="inlineStr">
        <is>
          <t>Matías Medina</t>
        </is>
      </c>
      <c r="D59" s="22" t="inlineStr">
        <is>
          <t>Incremento 2</t>
        </is>
      </c>
      <c r="E59" s="7" t="n">
        <v>6</v>
      </c>
      <c r="F59" s="7" t="inlineStr">
        <is>
          <t>04-09-2026</t>
        </is>
      </c>
      <c r="G59" s="7" t="inlineStr">
        <is>
          <t>06-09-2026</t>
        </is>
      </c>
      <c r="H59" s="7" t="n">
        <v>6</v>
      </c>
      <c r="I59" s="7" t="inlineStr">
        <is>
          <t>Finalizado</t>
        </is>
      </c>
    </row>
    <row r="60" ht="15.75" customHeight="1">
      <c r="A60" s="7" t="inlineStr">
        <is>
          <t>T-018</t>
        </is>
      </c>
      <c r="B60" s="8" t="inlineStr">
        <is>
          <t>TA 2.12 – Implementando las recepciones de bodega y su validación contra la OC</t>
        </is>
      </c>
      <c r="C60" s="9" t="inlineStr">
        <is>
          <t>Cristóbal López</t>
        </is>
      </c>
      <c r="D60" s="22" t="inlineStr">
        <is>
          <t>Incremento 2</t>
        </is>
      </c>
      <c r="E60" s="7" t="n">
        <v>6</v>
      </c>
      <c r="F60" s="7" t="inlineStr">
        <is>
          <t>01-09-2026</t>
        </is>
      </c>
      <c r="G60" s="7" t="inlineStr">
        <is>
          <t>04-09-2026</t>
        </is>
      </c>
      <c r="H60" s="7" t="n">
        <v>8</v>
      </c>
      <c r="I60" s="7" t="inlineStr">
        <is>
          <t>Finalizado</t>
        </is>
      </c>
    </row>
    <row r="61" ht="15.75" customHeight="1">
      <c r="A61" s="7" t="inlineStr">
        <is>
          <t>T-019</t>
        </is>
      </c>
      <c r="B61" s="8" t="inlineStr">
        <is>
          <t>TA 2.13 – Implementando las salidas de bodega y el stock en tiempo real</t>
        </is>
      </c>
      <c r="C61" s="9" t="inlineStr">
        <is>
          <t>Matías Medina</t>
        </is>
      </c>
      <c r="D61" s="22" t="inlineStr">
        <is>
          <t>Incremento 2</t>
        </is>
      </c>
      <c r="E61" s="7" t="n">
        <v>6</v>
      </c>
      <c r="F61" s="7" t="inlineStr">
        <is>
          <t>03-09-2026</t>
        </is>
      </c>
      <c r="G61" s="7" t="inlineStr">
        <is>
          <t>05-09-2026</t>
        </is>
      </c>
      <c r="H61" s="7" t="n">
        <v>6</v>
      </c>
      <c r="I61" s="7" t="inlineStr">
        <is>
          <t>Finalizado</t>
        </is>
      </c>
    </row>
    <row r="62" ht="15.75" customHeight="1">
      <c r="A62" s="7" t="inlineStr">
        <is>
          <t>T-020</t>
        </is>
      </c>
      <c r="B62" s="8" t="inlineStr">
        <is>
          <t>TA 2.14 – Implementando el préstamo y la devolución de herramientas</t>
        </is>
      </c>
      <c r="C62" s="9" t="inlineStr">
        <is>
          <t>Cristóbal López</t>
        </is>
      </c>
      <c r="D62" s="22" t="inlineStr">
        <is>
          <t>Incremento 2</t>
        </is>
      </c>
      <c r="E62" s="7" t="n">
        <v>8</v>
      </c>
      <c r="F62" s="7" t="inlineStr">
        <is>
          <t>04-09-2026</t>
        </is>
      </c>
      <c r="G62" s="7" t="inlineStr">
        <is>
          <t>06-09-2026</t>
        </is>
      </c>
      <c r="H62" s="7" t="n">
        <v>8</v>
      </c>
      <c r="I62" s="7" t="inlineStr">
        <is>
          <t>Finalizado</t>
        </is>
      </c>
    </row>
    <row r="63" ht="15.75" customHeight="1">
      <c r="A63" s="7" t="inlineStr">
        <is>
          <t>T-021</t>
        </is>
      </c>
      <c r="B63" s="8" t="inlineStr">
        <is>
          <t>TA 2.15 – Implementando el registro de mermas y las devoluciones a proveedor</t>
        </is>
      </c>
      <c r="C63" s="9" t="inlineStr">
        <is>
          <t>Matías Medina</t>
        </is>
      </c>
      <c r="D63" s="22" t="inlineStr">
        <is>
          <t>Incremento 2</t>
        </is>
      </c>
      <c r="E63" s="7" t="n">
        <v>6</v>
      </c>
      <c r="F63" s="7" t="inlineStr">
        <is>
          <t>05-09-2026</t>
        </is>
      </c>
      <c r="G63" s="7" t="inlineStr">
        <is>
          <t>07-09-2026</t>
        </is>
      </c>
      <c r="H63" s="7" t="n">
        <v>6</v>
      </c>
      <c r="I63" s="7" t="inlineStr">
        <is>
          <t>Finalizado</t>
        </is>
      </c>
    </row>
    <row r="64" ht="15.75" customHeight="1">
      <c r="A64" s="7" t="inlineStr">
        <is>
          <t>T-022</t>
        </is>
      </c>
      <c r="B64" s="8" t="inlineStr">
        <is>
          <t>TA 2.16 – Implementando la alerta visual de stock crítico</t>
        </is>
      </c>
      <c r="C64" s="9" t="inlineStr">
        <is>
          <t>Cristóbal López</t>
        </is>
      </c>
      <c r="D64" s="22" t="inlineStr">
        <is>
          <t>Incremento 2</t>
        </is>
      </c>
      <c r="E64" s="7" t="n">
        <v>6</v>
      </c>
      <c r="F64" s="7" t="inlineStr">
        <is>
          <t>06-09-2026</t>
        </is>
      </c>
      <c r="G64" s="7" t="inlineStr">
        <is>
          <t>07-09-2026</t>
        </is>
      </c>
      <c r="H64" s="7" t="n">
        <v>4</v>
      </c>
      <c r="I64" s="7" t="inlineStr">
        <is>
          <t>Finalizado</t>
        </is>
      </c>
    </row>
    <row r="65" ht="15.75" customHeight="1">
      <c r="A65" s="7" t="inlineStr">
        <is>
          <t>T-023</t>
        </is>
      </c>
      <c r="B65" s="8" t="inlineStr">
        <is>
          <t>TA 2.17 – Implementando la recepción de facturas y su margen de tolerancia</t>
        </is>
      </c>
      <c r="C65" s="9" t="inlineStr">
        <is>
          <t>Matías Medina</t>
        </is>
      </c>
      <c r="D65" s="22" t="inlineStr">
        <is>
          <t>Incremento 2</t>
        </is>
      </c>
      <c r="E65" s="7" t="n">
        <v>6</v>
      </c>
      <c r="F65" s="7" t="inlineStr">
        <is>
          <t>05-09-2026</t>
        </is>
      </c>
      <c r="G65" s="7" t="inlineStr">
        <is>
          <t>08-09-2026</t>
        </is>
      </c>
      <c r="H65" s="7" t="n">
        <v>8</v>
      </c>
      <c r="I65" s="7" t="inlineStr">
        <is>
          <t>Finalizado</t>
        </is>
      </c>
    </row>
    <row r="66" ht="15.75" customHeight="1">
      <c r="A66" s="7" t="inlineStr">
        <is>
          <t>T-024</t>
        </is>
      </c>
      <c r="B66" s="8" t="inlineStr">
        <is>
          <t>TA 2.18 – Implementando la vista de Cuentas por Pagar y la exportación a CSV</t>
        </is>
      </c>
      <c r="C66" s="9" t="inlineStr">
        <is>
          <t>Cristóbal López</t>
        </is>
      </c>
      <c r="D66" s="22" t="inlineStr">
        <is>
          <t>Incremento 2</t>
        </is>
      </c>
      <c r="E66" s="7" t="n">
        <v>6</v>
      </c>
      <c r="F66" s="7" t="inlineStr">
        <is>
          <t>07-09-2026</t>
        </is>
      </c>
      <c r="G66" s="7" t="inlineStr">
        <is>
          <t>09-09-2026</t>
        </is>
      </c>
      <c r="H66" s="7" t="n">
        <v>6</v>
      </c>
      <c r="I66" s="7" t="inlineStr">
        <is>
          <t>Finalizado</t>
        </is>
      </c>
    </row>
    <row r="67" ht="15.75" customHeight="1">
      <c r="A67" s="7" t="inlineStr">
        <is>
          <t>T-025</t>
        </is>
      </c>
      <c r="B67" s="8" t="inlineStr">
        <is>
          <t>TA 2.19 – Ampliando el control de acceso por rol a Bodega y Contabilidad</t>
        </is>
      </c>
      <c r="C67" s="9" t="inlineStr">
        <is>
          <t>Matías Medina</t>
        </is>
      </c>
      <c r="D67" s="22" t="inlineStr">
        <is>
          <t>Incremento 2</t>
        </is>
      </c>
      <c r="E67" s="7" t="n">
        <v>6</v>
      </c>
      <c r="F67" s="7" t="inlineStr">
        <is>
          <t>07-09-2026</t>
        </is>
      </c>
      <c r="G67" s="7" t="inlineStr">
        <is>
          <t>08-09-2026</t>
        </is>
      </c>
      <c r="H67" s="7" t="n">
        <v>6</v>
      </c>
      <c r="I67" s="7" t="inlineStr">
        <is>
          <t>Finalizado</t>
        </is>
      </c>
    </row>
    <row r="68" ht="15.75" customHeight="1">
      <c r="A68" s="7" t="inlineStr">
        <is>
          <t>T-026</t>
        </is>
      </c>
      <c r="B68" s="8" t="inlineStr">
        <is>
          <t>TA 2.20 – Cargando los datos de demostración en la base de datos</t>
        </is>
      </c>
      <c r="C68" s="9" t="inlineStr">
        <is>
          <t>Cristóbal López</t>
        </is>
      </c>
      <c r="D68" s="22" t="inlineStr">
        <is>
          <t>Incremento 2</t>
        </is>
      </c>
      <c r="E68" s="7" t="n">
        <v>4</v>
      </c>
      <c r="F68" s="7" t="inlineStr">
        <is>
          <t>08-09-2026</t>
        </is>
      </c>
      <c r="G68" s="7" t="inlineStr">
        <is>
          <t>09-09-2026</t>
        </is>
      </c>
      <c r="H68" s="7" t="n">
        <v>4</v>
      </c>
      <c r="I68" s="7" t="inlineStr">
        <is>
          <t>Finalizado</t>
        </is>
      </c>
    </row>
    <row r="69" ht="15.75" customHeight="1">
      <c r="A69" s="7" t="inlineStr">
        <is>
          <t>T-027</t>
        </is>
      </c>
      <c r="B69" s="8" t="inlineStr">
        <is>
          <t>TA 3.1 – Realizando el modelo entidad-relación extendido</t>
        </is>
      </c>
      <c r="C69" s="9" t="inlineStr">
        <is>
          <t>Alexander Hanke</t>
        </is>
      </c>
      <c r="D69" s="22" t="inlineStr">
        <is>
          <t>Incremento 2</t>
        </is>
      </c>
      <c r="E69" s="7" t="n">
        <v>8</v>
      </c>
      <c r="F69" s="7" t="inlineStr">
        <is>
          <t>28-08-2026</t>
        </is>
      </c>
      <c r="G69" s="7" t="inlineStr">
        <is>
          <t>30-08-2026</t>
        </is>
      </c>
      <c r="H69" s="7" t="n">
        <v>8</v>
      </c>
      <c r="I69" s="7" t="inlineStr">
        <is>
          <t>Finalizado</t>
        </is>
      </c>
    </row>
    <row r="70" ht="15.75" customHeight="1">
      <c r="A70" s="7" t="inlineStr">
        <is>
          <t>T-028</t>
        </is>
      </c>
      <c r="B70" s="8" t="inlineStr">
        <is>
          <t>TA 3.2 – Realizando el modelo relacional y la normalización 1FN, 2FN y 3FN</t>
        </is>
      </c>
      <c r="C70" s="9" t="inlineStr">
        <is>
          <t>Alexander Hanke</t>
        </is>
      </c>
      <c r="D70" s="22" t="inlineStr">
        <is>
          <t>Incremento 2</t>
        </is>
      </c>
      <c r="E70" s="7" t="n">
        <v>8</v>
      </c>
      <c r="F70" s="7" t="inlineStr">
        <is>
          <t>30-08-2026</t>
        </is>
      </c>
      <c r="G70" s="7" t="inlineStr">
        <is>
          <t>02-09-2026</t>
        </is>
      </c>
      <c r="H70" s="7" t="n">
        <v>10</v>
      </c>
      <c r="I70" s="7" t="inlineStr">
        <is>
          <t>Finalizado</t>
        </is>
      </c>
    </row>
    <row r="71" ht="15.75" customHeight="1">
      <c r="A71" s="7" t="inlineStr">
        <is>
          <t>T-029</t>
        </is>
      </c>
      <c r="B71" s="8" t="inlineStr">
        <is>
          <t>TA 3.3 – Realizando el modelo físico de la base de datos</t>
        </is>
      </c>
      <c r="C71" s="9" t="inlineStr">
        <is>
          <t>Roberto Seguel</t>
        </is>
      </c>
      <c r="D71" s="22" t="inlineStr">
        <is>
          <t>Incremento 2</t>
        </is>
      </c>
      <c r="E71" s="7" t="n">
        <v>8</v>
      </c>
      <c r="F71" s="7" t="inlineStr">
        <is>
          <t>01-09-2026</t>
        </is>
      </c>
      <c r="G71" s="7" t="inlineStr">
        <is>
          <t>03-09-2026</t>
        </is>
      </c>
      <c r="H71" s="7" t="n">
        <v>8</v>
      </c>
      <c r="I71" s="7" t="inlineStr">
        <is>
          <t>Finalizado</t>
        </is>
      </c>
    </row>
    <row r="72" ht="15.75" customHeight="1">
      <c r="A72" s="7" t="inlineStr">
        <is>
          <t>T-030</t>
        </is>
      </c>
      <c r="B72" s="8" t="inlineStr">
        <is>
          <t>TA 3.4 – Realizando el diagrama de componentes de la vista de desarrollo</t>
        </is>
      </c>
      <c r="C72" s="9" t="inlineStr">
        <is>
          <t>Roberto Seguel</t>
        </is>
      </c>
      <c r="D72" s="22" t="inlineStr">
        <is>
          <t>Incremento 2</t>
        </is>
      </c>
      <c r="E72" s="7" t="n">
        <v>6</v>
      </c>
      <c r="F72" s="7" t="inlineStr">
        <is>
          <t>02-09-2026</t>
        </is>
      </c>
      <c r="G72" s="7" t="inlineStr">
        <is>
          <t>04-09-2026</t>
        </is>
      </c>
      <c r="H72" s="7" t="n">
        <v>6</v>
      </c>
      <c r="I72" s="7" t="inlineStr">
        <is>
          <t>Finalizado</t>
        </is>
      </c>
    </row>
    <row r="73" ht="15.75" customHeight="1">
      <c r="A73" s="7" t="inlineStr">
        <is>
          <t>T-031</t>
        </is>
      </c>
      <c r="B73" s="8" t="inlineStr">
        <is>
          <t>TA 3.5 – Realizando el diagrama de despliegue de la vista física</t>
        </is>
      </c>
      <c r="C73" s="9" t="inlineStr">
        <is>
          <t>Josué Barrera</t>
        </is>
      </c>
      <c r="D73" s="22" t="inlineStr">
        <is>
          <t>Incremento 2</t>
        </is>
      </c>
      <c r="E73" s="7" t="n">
        <v>6</v>
      </c>
      <c r="F73" s="7" t="inlineStr">
        <is>
          <t>03-09-2026</t>
        </is>
      </c>
      <c r="G73" s="7" t="inlineStr">
        <is>
          <t>05-09-2026</t>
        </is>
      </c>
      <c r="H73" s="7" t="n">
        <v>6</v>
      </c>
      <c r="I73" s="7" t="inlineStr">
        <is>
          <t>Finalizado</t>
        </is>
      </c>
    </row>
    <row r="74" ht="15.75" customHeight="1">
      <c r="A74" s="7" t="inlineStr">
        <is>
          <t>T-032</t>
        </is>
      </c>
      <c r="B74" s="8" t="inlineStr">
        <is>
          <t>TA 3.6 – Realizando los diagramas de secuencia del flujo principal</t>
        </is>
      </c>
      <c r="C74" s="9" t="inlineStr">
        <is>
          <t>Catalina Lino</t>
        </is>
      </c>
      <c r="D74" s="22" t="inlineStr">
        <is>
          <t>Incremento 2</t>
        </is>
      </c>
      <c r="E74" s="7" t="n">
        <v>14</v>
      </c>
      <c r="F74" s="7" t="inlineStr">
        <is>
          <t>01-09-2026</t>
        </is>
      </c>
      <c r="G74" s="7" t="inlineStr">
        <is>
          <t>07-09-2026</t>
        </is>
      </c>
      <c r="H74" s="7" t="n">
        <v>16</v>
      </c>
      <c r="I74" s="7" t="inlineStr">
        <is>
          <t>Finalizado</t>
        </is>
      </c>
    </row>
    <row r="75" ht="15.75" customHeight="1">
      <c r="A75" s="7" t="inlineStr">
        <is>
          <t>T-033</t>
        </is>
      </c>
      <c r="B75" s="8" t="inlineStr">
        <is>
          <t>TA 3.7 – Realizando los diagramas de secuencia de las excepciones</t>
        </is>
      </c>
      <c r="C75" s="9" t="inlineStr">
        <is>
          <t>Catalina Lino</t>
        </is>
      </c>
      <c r="D75" s="22" t="inlineStr">
        <is>
          <t>Incremento 2</t>
        </is>
      </c>
      <c r="E75" s="7" t="n">
        <v>12</v>
      </c>
      <c r="F75" s="7" t="inlineStr">
        <is>
          <t>05-09-2026</t>
        </is>
      </c>
      <c r="G75" s="7" t="inlineStr">
        <is>
          <t>09-09-2026</t>
        </is>
      </c>
      <c r="H75" s="7" t="n">
        <v>14</v>
      </c>
      <c r="I75" s="7" t="inlineStr">
        <is>
          <t>Finalizado</t>
        </is>
      </c>
    </row>
    <row r="76" ht="15.75" customHeight="1">
      <c r="A76" s="7" t="inlineStr">
        <is>
          <t>T-034</t>
        </is>
      </c>
      <c r="B76" s="8" t="inlineStr">
        <is>
          <t>TA 3.8 – Diseñando el árbol de navegación del sistema</t>
        </is>
      </c>
      <c r="C76" s="9" t="inlineStr">
        <is>
          <t>Josué Barrera</t>
        </is>
      </c>
      <c r="D76" s="22" t="inlineStr">
        <is>
          <t>Incremento 2</t>
        </is>
      </c>
      <c r="E76" s="7" t="n">
        <v>8</v>
      </c>
      <c r="F76" s="7" t="inlineStr">
        <is>
          <t>04-09-2026</t>
        </is>
      </c>
      <c r="G76" s="7" t="inlineStr">
        <is>
          <t>06-09-2026</t>
        </is>
      </c>
      <c r="H76" s="7" t="n">
        <v>8</v>
      </c>
      <c r="I76" s="7" t="inlineStr">
        <is>
          <t>Finalizado</t>
        </is>
      </c>
    </row>
    <row r="77" ht="15.75" customHeight="1">
      <c r="A77" s="7" t="inlineStr">
        <is>
          <t>T-035</t>
        </is>
      </c>
      <c r="B77" s="8" t="inlineStr">
        <is>
          <t>TA 4.1 – Redactando la introducción y la propuesta de solución</t>
        </is>
      </c>
      <c r="C77" s="9" t="inlineStr">
        <is>
          <t>Emiliano Fernández</t>
        </is>
      </c>
      <c r="D77" s="22" t="inlineStr">
        <is>
          <t>Incremento 2</t>
        </is>
      </c>
      <c r="E77" s="7" t="n">
        <v>6</v>
      </c>
      <c r="F77" s="7" t="inlineStr">
        <is>
          <t>31-08-2026</t>
        </is>
      </c>
      <c r="G77" s="7" t="inlineStr">
        <is>
          <t>02-09-2026</t>
        </is>
      </c>
      <c r="H77" s="7" t="n">
        <v>6</v>
      </c>
      <c r="I77" s="7" t="inlineStr">
        <is>
          <t>Finalizado</t>
        </is>
      </c>
    </row>
    <row r="78" ht="15.75" customHeight="1">
      <c r="A78" s="7" t="inlineStr">
        <is>
          <t>T-036</t>
        </is>
      </c>
      <c r="B78" s="8" t="inlineStr">
        <is>
          <t>TA 4.2 – Elaborando el Product Backlog List del incremento 2</t>
        </is>
      </c>
      <c r="C78" s="9" t="inlineStr">
        <is>
          <t>Emiliano Fernández</t>
        </is>
      </c>
      <c r="D78" s="22" t="inlineStr">
        <is>
          <t>Incremento 2</t>
        </is>
      </c>
      <c r="E78" s="7" t="n">
        <v>8</v>
      </c>
      <c r="F78" s="7" t="inlineStr">
        <is>
          <t>01-09-2026</t>
        </is>
      </c>
      <c r="G78" s="7" t="inlineStr">
        <is>
          <t>03-09-2026</t>
        </is>
      </c>
      <c r="H78" s="7" t="n">
        <v>8</v>
      </c>
      <c r="I78" s="7" t="inlineStr">
        <is>
          <t>Finalizado</t>
        </is>
      </c>
    </row>
    <row r="79" ht="15.75" customHeight="1">
      <c r="A79" s="7" t="inlineStr">
        <is>
          <t>T-037</t>
        </is>
      </c>
      <c r="B79" s="8" t="inlineStr">
        <is>
          <t>TA 4.3 – Elaborando el Product Backlog List heredado del incremento 1</t>
        </is>
      </c>
      <c r="C79" s="9" t="inlineStr">
        <is>
          <t>Rocío Olguín</t>
        </is>
      </c>
      <c r="D79" s="22" t="inlineStr">
        <is>
          <t>Incremento 2</t>
        </is>
      </c>
      <c r="E79" s="7" t="n">
        <v>6</v>
      </c>
      <c r="F79" s="7" t="inlineStr">
        <is>
          <t>02-09-2026</t>
        </is>
      </c>
      <c r="G79" s="7" t="inlineStr">
        <is>
          <t>04-09-2026</t>
        </is>
      </c>
      <c r="H79" s="7" t="n">
        <v>6</v>
      </c>
      <c r="I79" s="7" t="inlineStr">
        <is>
          <t>Finalizado</t>
        </is>
      </c>
    </row>
    <row r="80" ht="15.75" customHeight="1">
      <c r="A80" s="7" t="inlineStr">
        <is>
          <t>T-038</t>
        </is>
      </c>
      <c r="B80" s="8" t="inlineStr">
        <is>
          <t>TA 4.4 – Construyendo el Sprint Backlog en vista externa</t>
        </is>
      </c>
      <c r="C80" s="9" t="inlineStr">
        <is>
          <t>Rocío Olguín</t>
        </is>
      </c>
      <c r="D80" s="22" t="inlineStr">
        <is>
          <t>Incremento 2</t>
        </is>
      </c>
      <c r="E80" s="7" t="n">
        <v>10</v>
      </c>
      <c r="F80" s="7" t="inlineStr">
        <is>
          <t>02-09-2026</t>
        </is>
      </c>
      <c r="G80" s="7" t="inlineStr">
        <is>
          <t>06-09-2026</t>
        </is>
      </c>
      <c r="H80" s="7" t="n">
        <v>10</v>
      </c>
      <c r="I80" s="7" t="inlineStr">
        <is>
          <t>Finalizado</t>
        </is>
      </c>
    </row>
    <row r="81" ht="15.75" customHeight="1">
      <c r="A81" s="7" t="inlineStr">
        <is>
          <t>T-039</t>
        </is>
      </c>
      <c r="B81" s="8" t="inlineStr">
        <is>
          <t>TA 4.5 – Elaborando la matriz de ramas del menú habilitadas por rol</t>
        </is>
      </c>
      <c r="C81" s="9" t="inlineStr">
        <is>
          <t>Josué Barrera</t>
        </is>
      </c>
      <c r="D81" s="22" t="inlineStr">
        <is>
          <t>Incremento 2</t>
        </is>
      </c>
      <c r="E81" s="7" t="n">
        <v>4</v>
      </c>
      <c r="F81" s="7" t="inlineStr">
        <is>
          <t>06-09-2026</t>
        </is>
      </c>
      <c r="G81" s="7" t="inlineStr">
        <is>
          <t>07-09-2026</t>
        </is>
      </c>
      <c r="H81" s="7" t="n">
        <v>4</v>
      </c>
      <c r="I81" s="7" t="inlineStr">
        <is>
          <t>Finalizado</t>
        </is>
      </c>
    </row>
    <row r="82" ht="15.75" customHeight="1">
      <c r="A82" s="7" t="inlineStr">
        <is>
          <t>T-040</t>
        </is>
      </c>
      <c r="B82" s="8" t="inlineStr">
        <is>
          <t>TA 4.6 – Levantando las capturas de pantalla del sistema en ejecución</t>
        </is>
      </c>
      <c r="C82" s="9" t="inlineStr">
        <is>
          <t>Rocío Olguín</t>
        </is>
      </c>
      <c r="D82" s="22" t="inlineStr">
        <is>
          <t>Incremento 2</t>
        </is>
      </c>
      <c r="E82" s="7" t="n">
        <v>10</v>
      </c>
      <c r="F82" s="7" t="inlineStr">
        <is>
          <t>07-09-2026</t>
        </is>
      </c>
      <c r="G82" s="7" t="inlineStr">
        <is>
          <t>10-09-2026</t>
        </is>
      </c>
      <c r="H82" s="7" t="n">
        <v>12</v>
      </c>
      <c r="I82" s="7" t="inlineStr">
        <is>
          <t>Finalizado</t>
        </is>
      </c>
    </row>
    <row r="83" ht="15.75" customHeight="1">
      <c r="A83" s="7" t="inlineStr">
        <is>
          <t>T-041</t>
        </is>
      </c>
      <c r="B83" s="8" t="inlineStr">
        <is>
          <t>TA 4.7 – Construyendo la tabla de esfuerzo del sprint</t>
        </is>
      </c>
      <c r="C83" s="9" t="inlineStr">
        <is>
          <t>Alexander Hanke</t>
        </is>
      </c>
      <c r="D83" s="22" t="inlineStr">
        <is>
          <t>Incremento 2</t>
        </is>
      </c>
      <c r="E83" s="7" t="n">
        <v>6</v>
      </c>
      <c r="F83" s="7" t="inlineStr">
        <is>
          <t>09-09-2026</t>
        </is>
      </c>
      <c r="G83" s="7" t="inlineStr">
        <is>
          <t>10-09-2026</t>
        </is>
      </c>
      <c r="H83" s="7" t="n">
        <v>6</v>
      </c>
      <c r="I83" s="7" t="inlineStr">
        <is>
          <t>Finalizado</t>
        </is>
      </c>
    </row>
    <row r="84" ht="15.75" customHeight="1">
      <c r="A84" s="7" t="inlineStr">
        <is>
          <t>T-042</t>
        </is>
      </c>
      <c r="B84" s="8" t="inlineStr">
        <is>
          <t>TA 4.8 – Generando las gráficas de seguimiento burn-down y burn-up</t>
        </is>
      </c>
      <c r="C84" s="9" t="inlineStr">
        <is>
          <t>Alexander Hanke</t>
        </is>
      </c>
      <c r="D84" s="22" t="inlineStr">
        <is>
          <t>Incremento 2</t>
        </is>
      </c>
      <c r="E84" s="7" t="n">
        <v>6</v>
      </c>
      <c r="F84" s="7" t="inlineStr">
        <is>
          <t>10-09-2026</t>
        </is>
      </c>
      <c r="G84" s="7" t="inlineStr">
        <is>
          <t>11-09-2026</t>
        </is>
      </c>
      <c r="H84" s="7" t="n">
        <v>4</v>
      </c>
      <c r="I84" s="7" t="inlineStr">
        <is>
          <t>Finalizado</t>
        </is>
      </c>
    </row>
    <row r="85" ht="15.75" customHeight="1">
      <c r="A85" s="7" t="inlineStr">
        <is>
          <t>T-043</t>
        </is>
      </c>
      <c r="B85" s="8" t="inlineStr">
        <is>
          <t>TA 4.9 – Redactando el cierre del sprint y el análisis del incremento</t>
        </is>
      </c>
      <c r="C85" s="9" t="inlineStr">
        <is>
          <t>Emiliano Fernández</t>
        </is>
      </c>
      <c r="D85" s="22" t="inlineStr">
        <is>
          <t>Incremento 2</t>
        </is>
      </c>
      <c r="E85" s="7" t="n">
        <v>6</v>
      </c>
      <c r="F85" s="7" t="inlineStr">
        <is>
          <t>10-09-2026</t>
        </is>
      </c>
      <c r="G85" s="7" t="inlineStr">
        <is>
          <t>12-09-2026</t>
        </is>
      </c>
      <c r="H85" s="7" t="n">
        <v>6</v>
      </c>
      <c r="I85" s="7" t="inlineStr">
        <is>
          <t>Finalizado</t>
        </is>
      </c>
    </row>
    <row r="86" ht="15.75" customHeight="1">
      <c r="A86" s="7" t="inlineStr">
        <is>
          <t>T-044</t>
        </is>
      </c>
      <c r="B86" s="8" t="inlineStr">
        <is>
          <t>TA 4.10 – Consolidando índices, formato y numeración de figuras y tablas</t>
        </is>
      </c>
      <c r="C86" s="9" t="inlineStr">
        <is>
          <t>Rocío Olguín</t>
        </is>
      </c>
      <c r="D86" s="22" t="inlineStr">
        <is>
          <t>Incremento 2</t>
        </is>
      </c>
      <c r="E86" s="7" t="n">
        <v>8</v>
      </c>
      <c r="F86" s="7" t="inlineStr">
        <is>
          <t>10-09-2026</t>
        </is>
      </c>
      <c r="G86" s="7" t="inlineStr">
        <is>
          <t>13-09-2026</t>
        </is>
      </c>
      <c r="H86" s="7" t="n">
        <v>8</v>
      </c>
      <c r="I86" s="7" t="inlineStr">
        <is>
          <t>Finalizado</t>
        </is>
      </c>
    </row>
    <row r="87" ht="15.75" customHeight="1">
      <c r="A87" s="7" t="inlineStr">
        <is>
          <t>T-045</t>
        </is>
      </c>
      <c r="B87" s="8" t="inlineStr">
        <is>
          <t>TA 4.11 – Preparando los anexos y el Documento 0 corregido</t>
        </is>
      </c>
      <c r="C87" s="9" t="inlineStr">
        <is>
          <t>Roberto Seguel</t>
        </is>
      </c>
      <c r="D87" s="22" t="inlineStr">
        <is>
          <t>Incremento 2</t>
        </is>
      </c>
      <c r="E87" s="7" t="n">
        <v>6</v>
      </c>
      <c r="F87" s="7" t="inlineStr">
        <is>
          <t>11-09-2026</t>
        </is>
      </c>
      <c r="G87" s="7" t="inlineStr">
        <is>
          <t>12-09-2026</t>
        </is>
      </c>
      <c r="H87" s="7" t="n">
        <v>6</v>
      </c>
      <c r="I87" s="7" t="inlineStr">
        <is>
          <t>Finalizado</t>
        </is>
      </c>
    </row>
    <row r="88" ht="15.75" customHeight="1">
      <c r="A88" s="7" t="inlineStr">
        <is>
          <t>T-046</t>
        </is>
      </c>
      <c r="B88" s="8" t="inlineStr">
        <is>
          <t>TA 4.12 – Documentando las vistas del sistema pantalla por pantalla</t>
        </is>
      </c>
      <c r="C88" s="9" t="inlineStr">
        <is>
          <t>Rocío Olguín</t>
        </is>
      </c>
      <c r="D88" s="22" t="inlineStr">
        <is>
          <t>Incremento 2</t>
        </is>
      </c>
      <c r="E88" s="7" t="n">
        <v>6</v>
      </c>
      <c r="F88" s="7" t="inlineStr">
        <is>
          <t>09-09-2026</t>
        </is>
      </c>
      <c r="G88" s="7" t="inlineStr">
        <is>
          <t>12-09-2026</t>
        </is>
      </c>
      <c r="H88" s="7" t="n">
        <v>8</v>
      </c>
      <c r="I88" s="7" t="inlineStr">
        <is>
          <t>Finalizado</t>
        </is>
      </c>
    </row>
    <row r="89" ht="15.75" customHeight="1">
      <c r="A89" s="7" t="inlineStr">
        <is>
          <t>T-047</t>
        </is>
      </c>
      <c r="B89" s="8" t="inlineStr">
        <is>
          <t>TA 5.1 – Ejecutando las pruebas de regresión de los casos de uso del incremento 1</t>
        </is>
      </c>
      <c r="C89" s="9" t="inlineStr">
        <is>
          <t>Matías Medina</t>
        </is>
      </c>
      <c r="D89" s="22" t="inlineStr">
        <is>
          <t>Incremento 2</t>
        </is>
      </c>
      <c r="E89" s="7" t="n">
        <v>8</v>
      </c>
      <c r="F89" s="7" t="inlineStr">
        <is>
          <t>07-09-2026</t>
        </is>
      </c>
      <c r="G89" s="7" t="inlineStr">
        <is>
          <t>09-09-2026</t>
        </is>
      </c>
      <c r="H89" s="7" t="n">
        <v>8</v>
      </c>
      <c r="I89" s="7" t="inlineStr">
        <is>
          <t>Finalizado</t>
        </is>
      </c>
    </row>
    <row r="90" ht="15.75" customHeight="1">
      <c r="A90" s="7" t="inlineStr">
        <is>
          <t>T-048</t>
        </is>
      </c>
      <c r="B90" s="8" t="inlineStr">
        <is>
          <t>TA 5.2 – Documentando las pruebas de casos de uso heredadas</t>
        </is>
      </c>
      <c r="C90" s="9" t="inlineStr">
        <is>
          <t>Emiliano Fernández</t>
        </is>
      </c>
      <c r="D90" s="22" t="inlineStr">
        <is>
          <t>Incremento 2</t>
        </is>
      </c>
      <c r="E90" s="7" t="n">
        <v>6</v>
      </c>
      <c r="F90" s="7" t="inlineStr">
        <is>
          <t>08-09-2026</t>
        </is>
      </c>
      <c r="G90" s="7" t="inlineStr">
        <is>
          <t>10-09-2026</t>
        </is>
      </c>
      <c r="H90" s="7" t="n">
        <v>6</v>
      </c>
      <c r="I90" s="7" t="inlineStr">
        <is>
          <t>Finalizado</t>
        </is>
      </c>
    </row>
    <row r="91" ht="15.75" customHeight="1">
      <c r="A91" s="7" t="inlineStr">
        <is>
          <t>T-049</t>
        </is>
      </c>
      <c r="B91" s="8" t="inlineStr">
        <is>
          <t>TA 5.3 – Documentando las pruebas de casos de uso del incremento 2</t>
        </is>
      </c>
      <c r="C91" s="9" t="inlineStr">
        <is>
          <t>Catalina Lino</t>
        </is>
      </c>
      <c r="D91" s="22" t="inlineStr">
        <is>
          <t>Incremento 2</t>
        </is>
      </c>
      <c r="E91" s="7" t="n">
        <v>10</v>
      </c>
      <c r="F91" s="7" t="inlineStr">
        <is>
          <t>08-09-2026</t>
        </is>
      </c>
      <c r="G91" s="7" t="inlineStr">
        <is>
          <t>11-09-2026</t>
        </is>
      </c>
      <c r="H91" s="7" t="n">
        <v>10</v>
      </c>
      <c r="I91" s="7" t="inlineStr">
        <is>
          <t>Finalizado</t>
        </is>
      </c>
    </row>
    <row r="92" ht="15.75" customHeight="1">
      <c r="A92" s="7" t="inlineStr">
        <is>
          <t>T-050</t>
        </is>
      </c>
      <c r="B92" s="8" t="inlineStr">
        <is>
          <t>TA 5.4 – Registrando la evidencia de las tres iteraciones de pruebas</t>
        </is>
      </c>
      <c r="C92" s="9" t="inlineStr">
        <is>
          <t>Josué Barrera</t>
        </is>
      </c>
      <c r="D92" s="22" t="inlineStr">
        <is>
          <t>Incremento 2</t>
        </is>
      </c>
      <c r="E92" s="7" t="n">
        <v>6</v>
      </c>
      <c r="F92" s="7" t="inlineStr">
        <is>
          <t>10-09-2026</t>
        </is>
      </c>
      <c r="G92" s="7" t="inlineStr">
        <is>
          <t>12-09-2026</t>
        </is>
      </c>
      <c r="H92" s="7" t="n">
        <v>8</v>
      </c>
      <c r="I92" s="7" t="inlineStr">
        <is>
          <t>Finalizado</t>
        </is>
      </c>
    </row>
    <row r="93" ht="15.75" customHeight="1">
      <c r="A93" s="7" t="inlineStr">
        <is>
          <t>T-051</t>
        </is>
      </c>
      <c r="B93" s="8" t="inlineStr">
        <is>
          <t>TA 5.5 – Revisando la coherencia entre el documento y el sistema construido</t>
        </is>
      </c>
      <c r="C93" s="9" t="inlineStr">
        <is>
          <t>Roberto Seguel</t>
        </is>
      </c>
      <c r="D93" s="22" t="inlineStr">
        <is>
          <t>Incremento 2</t>
        </is>
      </c>
      <c r="E93" s="7" t="n">
        <v>6</v>
      </c>
      <c r="F93" s="7" t="inlineStr">
        <is>
          <t>11-09-2026</t>
        </is>
      </c>
      <c r="G93" s="7" t="inlineStr">
        <is>
          <t>13-09-2026</t>
        </is>
      </c>
      <c r="H93" s="7" t="n">
        <v>6</v>
      </c>
      <c r="I93" s="7" t="inlineStr">
        <is>
          <t>Finalizado</t>
        </is>
      </c>
    </row>
    <row r="94" ht="15.75" customHeight="1">
      <c r="A94" s="7" t="inlineStr">
        <is>
          <t>T-052</t>
        </is>
      </c>
      <c r="B94" s="8" t="inlineStr">
        <is>
          <t>TA 5.6 – Ejecutando la segunda y la tercera iteración de pruebas de caja negra</t>
        </is>
      </c>
      <c r="C94" s="9" t="inlineStr">
        <is>
          <t>Catalina Lino</t>
        </is>
      </c>
      <c r="D94" s="22" t="inlineStr">
        <is>
          <t>Incremento 2</t>
        </is>
      </c>
      <c r="E94" s="7" t="n">
        <v>10</v>
      </c>
      <c r="F94" s="7" t="inlineStr">
        <is>
          <t>09-09-2026</t>
        </is>
      </c>
      <c r="G94" s="7" t="inlineStr">
        <is>
          <t>12-09-2026</t>
        </is>
      </c>
      <c r="H94" s="7" t="n">
        <v>8</v>
      </c>
      <c r="I94" s="7" t="inlineStr">
        <is>
          <t>Finalizado</t>
        </is>
      </c>
    </row>
    <row r="95" ht="15.75" customHeight="1">
      <c r="A95" s="48" t="inlineStr">
        <is>
          <t>Subtotal Sprint 2 · Incremento 2</t>
        </is>
      </c>
      <c r="B95" s="42" t="n"/>
      <c r="C95" s="42" t="n"/>
      <c r="D95" s="44" t="n"/>
      <c r="E95" s="28">
        <f>SUM(E43:E94)</f>
        <v/>
      </c>
      <c r="F95" s="19" t="n"/>
      <c r="G95" s="19" t="n"/>
      <c r="H95" s="28">
        <f>SUM(H43:H94)</f>
        <v/>
      </c>
      <c r="I95" s="19" t="n"/>
    </row>
    <row r="96" ht="15.75" customHeight="1"/>
    <row r="97" ht="15.75" customHeight="1">
      <c r="A97" s="49" t="inlineStr">
        <is>
          <t>SPRINT 3 · INCREMENTO 3 — trabajo nuevo (33 tareas)</t>
        </is>
      </c>
      <c r="B97" s="42" t="n"/>
      <c r="C97" s="42" t="n"/>
      <c r="D97" s="42" t="n"/>
      <c r="E97" s="42" t="n"/>
      <c r="F97" s="42" t="n"/>
      <c r="G97" s="42" t="n"/>
      <c r="H97" s="42" t="n"/>
      <c r="I97" s="42" t="n"/>
    </row>
    <row r="98" ht="15.75" customHeight="1">
      <c r="A98" s="7" t="inlineStr">
        <is>
          <t>T-053</t>
        </is>
      </c>
      <c r="B98" s="8" t="inlineStr">
        <is>
          <t>TA 1.1 – Ampliando el modelo de datos con las tablas de auditoría y las vistas agregadas para reportes</t>
        </is>
      </c>
      <c r="C98" s="9" t="inlineStr">
        <is>
          <t>Alexander Hanke</t>
        </is>
      </c>
      <c r="D98" s="34" t="inlineStr">
        <is>
          <t>Incremento 3</t>
        </is>
      </c>
      <c r="E98" s="7" t="n">
        <v>8</v>
      </c>
      <c r="F98" s="7" t="inlineStr">
        <is>
          <t>15-09-2026</t>
        </is>
      </c>
      <c r="G98" s="7" t="inlineStr">
        <is>
          <t>17-09-2026</t>
        </is>
      </c>
      <c r="H98" s="7" t="n"/>
      <c r="I98" s="7" t="inlineStr">
        <is>
          <t>En proceso</t>
        </is>
      </c>
    </row>
    <row r="99" ht="15.75" customHeight="1">
      <c r="A99" s="7" t="inlineStr">
        <is>
          <t>T-054</t>
        </is>
      </c>
      <c r="B99" s="8" t="inlineStr">
        <is>
          <t>TA 1.2 – Generando y aplicando las migraciones del incremento</t>
        </is>
      </c>
      <c r="C99" s="9" t="inlineStr">
        <is>
          <t>Cristóbal López</t>
        </is>
      </c>
      <c r="D99" s="34" t="inlineStr">
        <is>
          <t>Incremento 3</t>
        </is>
      </c>
      <c r="E99" s="7" t="n">
        <v>4</v>
      </c>
      <c r="F99" s="7" t="inlineStr">
        <is>
          <t>16-09-2026</t>
        </is>
      </c>
      <c r="G99" s="7" t="inlineStr">
        <is>
          <t>17-09-2026</t>
        </is>
      </c>
      <c r="H99" s="7" t="n"/>
      <c r="I99" s="7" t="inlineStr">
        <is>
          <t>En proceso</t>
        </is>
      </c>
    </row>
    <row r="100" ht="15.75" customHeight="1">
      <c r="A100" s="7" t="inlineStr">
        <is>
          <t>T-055</t>
        </is>
      </c>
      <c r="B100" s="8" t="inlineStr">
        <is>
          <t>TA 1.3 – Configurando el job programado de cierre de sesión por inactividad</t>
        </is>
      </c>
      <c r="C100" s="9" t="inlineStr">
        <is>
          <t>Matías Medina</t>
        </is>
      </c>
      <c r="D100" s="34" t="inlineStr">
        <is>
          <t>Incremento 3</t>
        </is>
      </c>
      <c r="E100" s="7" t="n">
        <v>4</v>
      </c>
      <c r="F100" s="7" t="inlineStr">
        <is>
          <t>17-09-2026</t>
        </is>
      </c>
      <c r="G100" s="7" t="inlineStr">
        <is>
          <t>18-09-2026</t>
        </is>
      </c>
      <c r="H100" s="7" t="n"/>
      <c r="I100" s="7" t="inlineStr">
        <is>
          <t>En proceso</t>
        </is>
      </c>
    </row>
    <row r="101" ht="15.75" customHeight="1">
      <c r="A101" s="7" t="inlineStr">
        <is>
          <t>T-056</t>
        </is>
      </c>
      <c r="B101" s="8" t="inlineStr">
        <is>
          <t>TA 2.1 – Implementando el reporte de consumo consolidado por proyecto</t>
        </is>
      </c>
      <c r="C101" s="9" t="inlineStr">
        <is>
          <t>Matías Medina</t>
        </is>
      </c>
      <c r="D101" s="34" t="inlineStr">
        <is>
          <t>Incremento 3</t>
        </is>
      </c>
      <c r="E101" s="7" t="n">
        <v>8</v>
      </c>
      <c r="F101" s="7" t="inlineStr">
        <is>
          <t>17-09-2026</t>
        </is>
      </c>
      <c r="G101" s="7" t="inlineStr">
        <is>
          <t>19-09-2026</t>
        </is>
      </c>
      <c r="H101" s="7" t="n"/>
      <c r="I101" s="7" t="inlineStr">
        <is>
          <t>En proceso</t>
        </is>
      </c>
    </row>
    <row r="102" ht="15.75" customHeight="1">
      <c r="A102" s="7" t="inlineStr">
        <is>
          <t>T-057</t>
        </is>
      </c>
      <c r="B102" s="8" t="inlineStr">
        <is>
          <t>TA 2.2 – Implementando el reporte de Desviación Presupuestaria</t>
        </is>
      </c>
      <c r="C102" s="9" t="inlineStr">
        <is>
          <t>Cristóbal López</t>
        </is>
      </c>
      <c r="D102" s="34" t="inlineStr">
        <is>
          <t>Incremento 3</t>
        </is>
      </c>
      <c r="E102" s="7" t="n">
        <v>8</v>
      </c>
      <c r="F102" s="7" t="inlineStr">
        <is>
          <t>18-09-2026</t>
        </is>
      </c>
      <c r="G102" s="7" t="inlineStr">
        <is>
          <t>20-09-2026</t>
        </is>
      </c>
      <c r="H102" s="7" t="n"/>
      <c r="I102" s="7" t="inlineStr">
        <is>
          <t>En proceso</t>
        </is>
      </c>
    </row>
    <row r="103" ht="15.75" customHeight="1">
      <c r="A103" s="7" t="inlineStr">
        <is>
          <t>T-058</t>
        </is>
      </c>
      <c r="B103" s="8" t="inlineStr">
        <is>
          <t>TA 2.3 – Implementando el reporte de Mermas y Pérdidas</t>
        </is>
      </c>
      <c r="C103" s="9" t="inlineStr">
        <is>
          <t>Matías Medina</t>
        </is>
      </c>
      <c r="D103" s="34" t="inlineStr">
        <is>
          <t>Incremento 3</t>
        </is>
      </c>
      <c r="E103" s="7" t="n">
        <v>6</v>
      </c>
      <c r="F103" s="7" t="inlineStr">
        <is>
          <t>19-09-2026</t>
        </is>
      </c>
      <c r="G103" s="7" t="inlineStr">
        <is>
          <t>21-09-2026</t>
        </is>
      </c>
      <c r="H103" s="7" t="n"/>
      <c r="I103" s="7" t="inlineStr">
        <is>
          <t>En proceso</t>
        </is>
      </c>
    </row>
    <row r="104" ht="15.75" customHeight="1">
      <c r="A104" s="7" t="inlineStr">
        <is>
          <t>T-059</t>
        </is>
      </c>
      <c r="B104" s="8" t="inlineStr">
        <is>
          <t>TA 2.4 – Implementando el historial de compras por proveedor</t>
        </is>
      </c>
      <c r="C104" s="9" t="inlineStr">
        <is>
          <t>Cristóbal López</t>
        </is>
      </c>
      <c r="D104" s="34" t="inlineStr">
        <is>
          <t>Incremento 3</t>
        </is>
      </c>
      <c r="E104" s="7" t="n">
        <v>6</v>
      </c>
      <c r="F104" s="7" t="inlineStr">
        <is>
          <t>20-09-2026</t>
        </is>
      </c>
      <c r="G104" s="7" t="inlineStr">
        <is>
          <t>22-09-2026</t>
        </is>
      </c>
      <c r="H104" s="7" t="n"/>
      <c r="I104" s="7" t="inlineStr">
        <is>
          <t>En proceso</t>
        </is>
      </c>
    </row>
    <row r="105" ht="15.75" customHeight="1">
      <c r="A105" s="7" t="inlineStr">
        <is>
          <t>T-060</t>
        </is>
      </c>
      <c r="B105" s="8" t="inlineStr">
        <is>
          <t>TA 2.5 – Implementando la exportación de reportes a Excel y PDF</t>
        </is>
      </c>
      <c r="C105" s="9" t="inlineStr">
        <is>
          <t>Matías Medina</t>
        </is>
      </c>
      <c r="D105" s="34" t="inlineStr">
        <is>
          <t>Incremento 3</t>
        </is>
      </c>
      <c r="E105" s="7" t="n">
        <v>8</v>
      </c>
      <c r="F105" s="7" t="inlineStr">
        <is>
          <t>21-09-2026</t>
        </is>
      </c>
      <c r="G105" s="7" t="inlineStr">
        <is>
          <t>23-09-2026</t>
        </is>
      </c>
      <c r="H105" s="7" t="n"/>
      <c r="I105" s="7" t="inlineStr">
        <is>
          <t>En proceso</t>
        </is>
      </c>
    </row>
    <row r="106" ht="15.75" customHeight="1">
      <c r="A106" s="7" t="inlineStr">
        <is>
          <t>T-061</t>
        </is>
      </c>
      <c r="B106" s="8" t="inlineStr">
        <is>
          <t>TA 2.6 – Implementando el buscador de trazabilidad de material u Orden de Compra</t>
        </is>
      </c>
      <c r="C106" s="9" t="inlineStr">
        <is>
          <t>Cristóbal López</t>
        </is>
      </c>
      <c r="D106" s="34" t="inlineStr">
        <is>
          <t>Incremento 3</t>
        </is>
      </c>
      <c r="E106" s="7" t="n">
        <v>8</v>
      </c>
      <c r="F106" s="7" t="inlineStr">
        <is>
          <t>22-09-2026</t>
        </is>
      </c>
      <c r="G106" s="7" t="inlineStr">
        <is>
          <t>24-09-2026</t>
        </is>
      </c>
      <c r="H106" s="7" t="n"/>
      <c r="I106" s="7" t="inlineStr">
        <is>
          <t>En proceso</t>
        </is>
      </c>
    </row>
    <row r="107" ht="15.75" customHeight="1">
      <c r="A107" s="7" t="inlineStr">
        <is>
          <t>T-062</t>
        </is>
      </c>
      <c r="B107" s="8" t="inlineStr">
        <is>
          <t>TA 2.7 – Implementando el envío del enlace temporal de activación de cuenta</t>
        </is>
      </c>
      <c r="C107" s="9" t="inlineStr">
        <is>
          <t>Matías Medina</t>
        </is>
      </c>
      <c r="D107" s="34" t="inlineStr">
        <is>
          <t>Incremento 3</t>
        </is>
      </c>
      <c r="E107" s="7" t="n">
        <v>4</v>
      </c>
      <c r="F107" s="7" t="inlineStr">
        <is>
          <t>23-09-2026</t>
        </is>
      </c>
      <c r="G107" s="7" t="inlineStr">
        <is>
          <t>24-09-2026</t>
        </is>
      </c>
      <c r="H107" s="7" t="n"/>
      <c r="I107" s="7" t="inlineStr">
        <is>
          <t>En proceso</t>
        </is>
      </c>
    </row>
    <row r="108" ht="15.75" customHeight="1">
      <c r="A108" s="7" t="inlineStr">
        <is>
          <t>T-063</t>
        </is>
      </c>
      <c r="B108" s="8" t="inlineStr">
        <is>
          <t>TA 2.8 – Implementando el cierre de sesión automático por inactividad</t>
        </is>
      </c>
      <c r="C108" s="9" t="inlineStr">
        <is>
          <t>Cristóbal López</t>
        </is>
      </c>
      <c r="D108" s="34" t="inlineStr">
        <is>
          <t>Incremento 3</t>
        </is>
      </c>
      <c r="E108" s="7" t="n">
        <v>4</v>
      </c>
      <c r="F108" s="7" t="inlineStr">
        <is>
          <t>24-09-2026</t>
        </is>
      </c>
      <c r="G108" s="7" t="inlineStr">
        <is>
          <t>25-09-2026</t>
        </is>
      </c>
      <c r="H108" s="7" t="n"/>
      <c r="I108" s="7" t="inlineStr">
        <is>
          <t>En proceso</t>
        </is>
      </c>
    </row>
    <row r="109" ht="15.75" customHeight="1">
      <c r="A109" s="7" t="inlineStr">
        <is>
          <t>T-064</t>
        </is>
      </c>
      <c r="B109" s="8" t="inlineStr">
        <is>
          <t>TA 2.9 – Implementando la recuperación de contraseña por correo electrónico</t>
        </is>
      </c>
      <c r="C109" s="9" t="inlineStr">
        <is>
          <t>Matías Medina</t>
        </is>
      </c>
      <c r="D109" s="34" t="inlineStr">
        <is>
          <t>Incremento 3</t>
        </is>
      </c>
      <c r="E109" s="7" t="n">
        <v>6</v>
      </c>
      <c r="F109" s="7" t="inlineStr">
        <is>
          <t>24-09-2026</t>
        </is>
      </c>
      <c r="G109" s="7" t="inlineStr">
        <is>
          <t>26-09-2026</t>
        </is>
      </c>
      <c r="H109" s="7" t="n"/>
      <c r="I109" s="7" t="inlineStr">
        <is>
          <t>En proceso</t>
        </is>
      </c>
    </row>
    <row r="110" ht="15.75" customHeight="1">
      <c r="A110" s="7" t="inlineStr">
        <is>
          <t>T-065</t>
        </is>
      </c>
      <c r="B110" s="8" t="inlineStr">
        <is>
          <t>TA 2.10 – Implementando la advertencia de tamaño de archivo sobre el umbral configurado</t>
        </is>
      </c>
      <c r="C110" s="9" t="inlineStr">
        <is>
          <t>Cristóbal López</t>
        </is>
      </c>
      <c r="D110" s="34" t="inlineStr">
        <is>
          <t>Incremento 3</t>
        </is>
      </c>
      <c r="E110" s="7" t="n">
        <v>4</v>
      </c>
      <c r="F110" s="7" t="inlineStr">
        <is>
          <t>25-09-2026</t>
        </is>
      </c>
      <c r="G110" s="7" t="inlineStr">
        <is>
          <t>26-09-2026</t>
        </is>
      </c>
      <c r="H110" s="7" t="n"/>
      <c r="I110" s="7" t="inlineStr">
        <is>
          <t>En proceso</t>
        </is>
      </c>
    </row>
    <row r="111" ht="15.75" customHeight="1">
      <c r="A111" s="7" t="inlineStr">
        <is>
          <t>T-066</t>
        </is>
      </c>
      <c r="B111" s="8" t="inlineStr">
        <is>
          <t>TA 2.11 – Implementando la descarga y el bloqueo de archivos para edición sin conexión</t>
        </is>
      </c>
      <c r="C111" s="9" t="inlineStr">
        <is>
          <t>Matías Medina</t>
        </is>
      </c>
      <c r="D111" s="34" t="inlineStr">
        <is>
          <t>Incremento 3</t>
        </is>
      </c>
      <c r="E111" s="7" t="n">
        <v>6</v>
      </c>
      <c r="F111" s="7" t="inlineStr">
        <is>
          <t>25-09-2026</t>
        </is>
      </c>
      <c r="G111" s="7" t="inlineStr">
        <is>
          <t>27-09-2026</t>
        </is>
      </c>
      <c r="H111" s="7" t="n"/>
      <c r="I111" s="7" t="inlineStr">
        <is>
          <t>En proceso</t>
        </is>
      </c>
    </row>
    <row r="112" ht="15.75" customHeight="1">
      <c r="A112" s="7" t="inlineStr">
        <is>
          <t>T-067</t>
        </is>
      </c>
      <c r="B112" s="8" t="inlineStr">
        <is>
          <t>TA 2.12 – Implementando la subida de la versión editada y la liberación del bloqueo</t>
        </is>
      </c>
      <c r="C112" s="9" t="inlineStr">
        <is>
          <t>Cristóbal López</t>
        </is>
      </c>
      <c r="D112" s="34" t="inlineStr">
        <is>
          <t>Incremento 3</t>
        </is>
      </c>
      <c r="E112" s="7" t="n">
        <v>6</v>
      </c>
      <c r="F112" s="7" t="inlineStr">
        <is>
          <t>26-09-2026</t>
        </is>
      </c>
      <c r="G112" s="7" t="inlineStr">
        <is>
          <t>28-09-2026</t>
        </is>
      </c>
      <c r="H112" s="7" t="n"/>
      <c r="I112" s="7" t="inlineStr">
        <is>
          <t>En proceso</t>
        </is>
      </c>
    </row>
    <row r="113" ht="15.75" customHeight="1">
      <c r="A113" s="7" t="inlineStr">
        <is>
          <t>T-068</t>
        </is>
      </c>
      <c r="B113" s="8" t="inlineStr">
        <is>
          <t>TA 2.13 – Implementando la configuración de los parámetros generales del sistema</t>
        </is>
      </c>
      <c r="C113" s="9" t="inlineStr">
        <is>
          <t>Matías Medina</t>
        </is>
      </c>
      <c r="D113" s="34" t="inlineStr">
        <is>
          <t>Incremento 3</t>
        </is>
      </c>
      <c r="E113" s="7" t="n">
        <v>6</v>
      </c>
      <c r="F113" s="7" t="inlineStr">
        <is>
          <t>27-09-2026</t>
        </is>
      </c>
      <c r="G113" s="7" t="inlineStr">
        <is>
          <t>28-09-2026</t>
        </is>
      </c>
      <c r="H113" s="7" t="n"/>
      <c r="I113" s="7" t="inlineStr">
        <is>
          <t>En proceso</t>
        </is>
      </c>
    </row>
    <row r="114" ht="15.75" customHeight="1">
      <c r="A114" s="7" t="inlineStr">
        <is>
          <t>T-069</t>
        </is>
      </c>
      <c r="B114" s="8" t="inlineStr">
        <is>
          <t>TA 3.1 – Realizando el modelo entidad-relación extendido del incremento</t>
        </is>
      </c>
      <c r="C114" s="9" t="inlineStr">
        <is>
          <t>Alexander Hanke</t>
        </is>
      </c>
      <c r="D114" s="34" t="inlineStr">
        <is>
          <t>Incremento 3</t>
        </is>
      </c>
      <c r="E114" s="7" t="n">
        <v>6</v>
      </c>
      <c r="F114" s="7" t="inlineStr">
        <is>
          <t>20-09-2026</t>
        </is>
      </c>
      <c r="G114" s="7" t="inlineStr">
        <is>
          <t>22-09-2026</t>
        </is>
      </c>
      <c r="H114" s="7" t="n"/>
      <c r="I114" s="7" t="inlineStr">
        <is>
          <t>En proceso</t>
        </is>
      </c>
    </row>
    <row r="115" ht="15.75" customHeight="1">
      <c r="A115" s="7" t="inlineStr">
        <is>
          <t>T-070</t>
        </is>
      </c>
      <c r="B115" s="8" t="inlineStr">
        <is>
          <t>TA 3.2 – Actualizando el diagrama de componentes con el módulo de reportes</t>
        </is>
      </c>
      <c r="C115" s="9" t="inlineStr">
        <is>
          <t>Roberto Seguel</t>
        </is>
      </c>
      <c r="D115" s="34" t="inlineStr">
        <is>
          <t>Incremento 3</t>
        </is>
      </c>
      <c r="E115" s="7" t="n">
        <v>6</v>
      </c>
      <c r="F115" s="7" t="inlineStr">
        <is>
          <t>22-09-2026</t>
        </is>
      </c>
      <c r="G115" s="7" t="inlineStr">
        <is>
          <t>24-09-2026</t>
        </is>
      </c>
      <c r="H115" s="7" t="n"/>
      <c r="I115" s="7" t="inlineStr">
        <is>
          <t>En proceso</t>
        </is>
      </c>
    </row>
    <row r="116" ht="15.75" customHeight="1">
      <c r="A116" s="7" t="inlineStr">
        <is>
          <t>T-071</t>
        </is>
      </c>
      <c r="B116" s="8" t="inlineStr">
        <is>
          <t>TA 3.3 – Actualizando el diagrama de despliegue de la vista física</t>
        </is>
      </c>
      <c r="C116" s="9" t="inlineStr">
        <is>
          <t>Josué Barrera</t>
        </is>
      </c>
      <c r="D116" s="34" t="inlineStr">
        <is>
          <t>Incremento 3</t>
        </is>
      </c>
      <c r="E116" s="7" t="n">
        <v>4</v>
      </c>
      <c r="F116" s="7" t="inlineStr">
        <is>
          <t>23-09-2026</t>
        </is>
      </c>
      <c r="G116" s="7" t="inlineStr">
        <is>
          <t>24-09-2026</t>
        </is>
      </c>
      <c r="H116" s="7" t="n"/>
      <c r="I116" s="7" t="inlineStr">
        <is>
          <t>En proceso</t>
        </is>
      </c>
    </row>
    <row r="117" ht="15.75" customHeight="1">
      <c r="A117" s="7" t="inlineStr">
        <is>
          <t>T-072</t>
        </is>
      </c>
      <c r="B117" s="8" t="inlineStr">
        <is>
          <t>TA 3.4 – Realizando los diagramas de secuencia del flujo principal</t>
        </is>
      </c>
      <c r="C117" s="9" t="inlineStr">
        <is>
          <t>Catalina Lino</t>
        </is>
      </c>
      <c r="D117" s="34" t="inlineStr">
        <is>
          <t>Incremento 3</t>
        </is>
      </c>
      <c r="E117" s="7" t="n">
        <v>10</v>
      </c>
      <c r="F117" s="7" t="inlineStr">
        <is>
          <t>22-09-2026</t>
        </is>
      </c>
      <c r="G117" s="7" t="inlineStr">
        <is>
          <t>26-09-2026</t>
        </is>
      </c>
      <c r="H117" s="7" t="n"/>
      <c r="I117" s="7" t="inlineStr">
        <is>
          <t>En proceso</t>
        </is>
      </c>
    </row>
    <row r="118" ht="15.75" customHeight="1">
      <c r="A118" s="7" t="inlineStr">
        <is>
          <t>T-073</t>
        </is>
      </c>
      <c r="B118" s="8" t="inlineStr">
        <is>
          <t>TA 3.5 – Realizando los diagramas de secuencia de las excepciones</t>
        </is>
      </c>
      <c r="C118" s="9" t="inlineStr">
        <is>
          <t>Catalina Lino</t>
        </is>
      </c>
      <c r="D118" s="34" t="inlineStr">
        <is>
          <t>Incremento 3</t>
        </is>
      </c>
      <c r="E118" s="7" t="n">
        <v>8</v>
      </c>
      <c r="F118" s="7" t="inlineStr">
        <is>
          <t>25-09-2026</t>
        </is>
      </c>
      <c r="G118" s="7" t="inlineStr">
        <is>
          <t>28-09-2026</t>
        </is>
      </c>
      <c r="H118" s="7" t="n"/>
      <c r="I118" s="7" t="inlineStr">
        <is>
          <t>En proceso</t>
        </is>
      </c>
    </row>
    <row r="119" ht="15.75" customHeight="1">
      <c r="A119" s="7" t="inlineStr">
        <is>
          <t>T-074</t>
        </is>
      </c>
      <c r="B119" s="8" t="inlineStr">
        <is>
          <t>TA 4.1 – Redactando la introducción y la definición del incremento 3</t>
        </is>
      </c>
      <c r="C119" s="9" t="inlineStr">
        <is>
          <t>Rocío Olguín</t>
        </is>
      </c>
      <c r="D119" s="34" t="inlineStr">
        <is>
          <t>Incremento 3</t>
        </is>
      </c>
      <c r="E119" s="7" t="n">
        <v>4</v>
      </c>
      <c r="F119" s="7" t="inlineStr">
        <is>
          <t>26-09-2026</t>
        </is>
      </c>
      <c r="G119" s="7" t="inlineStr">
        <is>
          <t>27-09-2026</t>
        </is>
      </c>
      <c r="H119" s="7" t="n"/>
      <c r="I119" s="7" t="inlineStr">
        <is>
          <t>En proceso</t>
        </is>
      </c>
    </row>
    <row r="120" ht="15.75" customHeight="1">
      <c r="A120" s="7" t="inlineStr">
        <is>
          <t>T-075</t>
        </is>
      </c>
      <c r="B120" s="8" t="inlineStr">
        <is>
          <t>TA 4.2 – Elaborando el Product Backlog List del incremento 3</t>
        </is>
      </c>
      <c r="C120" s="9" t="inlineStr">
        <is>
          <t>Rocío Olguín</t>
        </is>
      </c>
      <c r="D120" s="34" t="inlineStr">
        <is>
          <t>Incremento 3</t>
        </is>
      </c>
      <c r="E120" s="7" t="n">
        <v>6</v>
      </c>
      <c r="F120" s="7" t="inlineStr">
        <is>
          <t>27-09-2026</t>
        </is>
      </c>
      <c r="G120" s="7" t="inlineStr">
        <is>
          <t>29-09-2026</t>
        </is>
      </c>
      <c r="H120" s="7" t="n"/>
      <c r="I120" s="7" t="inlineStr">
        <is>
          <t>En proceso</t>
        </is>
      </c>
    </row>
    <row r="121" ht="15.75" customHeight="1">
      <c r="A121" s="7" t="inlineStr">
        <is>
          <t>T-076</t>
        </is>
      </c>
      <c r="B121" s="8" t="inlineStr">
        <is>
          <t>TA 4.3 – Elaborando el Product Backlog List heredado de los incrementos 1 y 2</t>
        </is>
      </c>
      <c r="C121" s="9" t="inlineStr">
        <is>
          <t>Rocío Olguín</t>
        </is>
      </c>
      <c r="D121" s="34" t="inlineStr">
        <is>
          <t>Incremento 3</t>
        </is>
      </c>
      <c r="E121" s="7" t="n">
        <v>6</v>
      </c>
      <c r="F121" s="7" t="inlineStr">
        <is>
          <t>27-09-2026</t>
        </is>
      </c>
      <c r="G121" s="7" t="inlineStr">
        <is>
          <t>29-09-2026</t>
        </is>
      </c>
      <c r="H121" s="7" t="n"/>
      <c r="I121" s="7" t="inlineStr">
        <is>
          <t>En proceso</t>
        </is>
      </c>
    </row>
    <row r="122" ht="15.75" customHeight="1">
      <c r="A122" s="7" t="inlineStr">
        <is>
          <t>T-077</t>
        </is>
      </c>
      <c r="B122" s="8" t="inlineStr">
        <is>
          <t>TA 4.4 – Levantando las capturas de pantalla del sistema en ejecución</t>
        </is>
      </c>
      <c r="C122" s="9" t="inlineStr">
        <is>
          <t>Rocío Olguín</t>
        </is>
      </c>
      <c r="D122" s="34" t="inlineStr">
        <is>
          <t>Incremento 3</t>
        </is>
      </c>
      <c r="E122" s="7" t="n">
        <v>8</v>
      </c>
      <c r="F122" s="7" t="inlineStr">
        <is>
          <t>28-09-2026</t>
        </is>
      </c>
      <c r="G122" s="7" t="inlineStr">
        <is>
          <t>30-09-2026</t>
        </is>
      </c>
      <c r="H122" s="7" t="n"/>
      <c r="I122" s="7" t="inlineStr">
        <is>
          <t>En proceso</t>
        </is>
      </c>
    </row>
    <row r="123" ht="15.75" customHeight="1">
      <c r="A123" s="7" t="inlineStr">
        <is>
          <t>T-078</t>
        </is>
      </c>
      <c r="B123" s="8" t="inlineStr">
        <is>
          <t>TA 4.5 – Construyendo la tabla de esfuerzo del sprint</t>
        </is>
      </c>
      <c r="C123" s="9" t="inlineStr">
        <is>
          <t>Alexander Hanke</t>
        </is>
      </c>
      <c r="D123" s="34" t="inlineStr">
        <is>
          <t>Incremento 3</t>
        </is>
      </c>
      <c r="E123" s="7" t="n">
        <v>4</v>
      </c>
      <c r="F123" s="7" t="inlineStr">
        <is>
          <t>29-09-2026</t>
        </is>
      </c>
      <c r="G123" s="7" t="inlineStr">
        <is>
          <t>30-09-2026</t>
        </is>
      </c>
      <c r="H123" s="7" t="n"/>
      <c r="I123" s="7" t="inlineStr">
        <is>
          <t>En proceso</t>
        </is>
      </c>
    </row>
    <row r="124" ht="15.75" customHeight="1">
      <c r="A124" s="7" t="inlineStr">
        <is>
          <t>T-079</t>
        </is>
      </c>
      <c r="B124" s="8" t="inlineStr">
        <is>
          <t>TA 4.6 – Generando las gráficas de seguimiento burn-down y burn-up</t>
        </is>
      </c>
      <c r="C124" s="9" t="inlineStr">
        <is>
          <t>Alexander Hanke</t>
        </is>
      </c>
      <c r="D124" s="34" t="inlineStr">
        <is>
          <t>Incremento 3</t>
        </is>
      </c>
      <c r="E124" s="7" t="n">
        <v>4</v>
      </c>
      <c r="F124" s="7" t="inlineStr">
        <is>
          <t>30-09-2026</t>
        </is>
      </c>
      <c r="G124" s="7" t="inlineStr">
        <is>
          <t>01-10-2026</t>
        </is>
      </c>
      <c r="H124" s="7" t="n"/>
      <c r="I124" s="7" t="inlineStr">
        <is>
          <t>En proceso</t>
        </is>
      </c>
    </row>
    <row r="125" ht="15.75" customHeight="1">
      <c r="A125" s="7" t="inlineStr">
        <is>
          <t>T-080</t>
        </is>
      </c>
      <c r="B125" s="8" t="inlineStr">
        <is>
          <t>TA 4.7 – Redactando el cierre del sprint y el análisis del incremento</t>
        </is>
      </c>
      <c r="C125" s="9" t="inlineStr">
        <is>
          <t>Rocío Olguín</t>
        </is>
      </c>
      <c r="D125" s="34" t="inlineStr">
        <is>
          <t>Incremento 3</t>
        </is>
      </c>
      <c r="E125" s="7" t="n">
        <v>4</v>
      </c>
      <c r="F125" s="7" t="inlineStr">
        <is>
          <t>30-09-2026</t>
        </is>
      </c>
      <c r="G125" s="7" t="inlineStr">
        <is>
          <t>01-10-2026</t>
        </is>
      </c>
      <c r="H125" s="7" t="n"/>
      <c r="I125" s="7" t="inlineStr">
        <is>
          <t>En proceso</t>
        </is>
      </c>
    </row>
    <row r="126" ht="15.75" customHeight="1">
      <c r="A126" s="7" t="inlineStr">
        <is>
          <t>T-081</t>
        </is>
      </c>
      <c r="B126" s="8" t="inlineStr">
        <is>
          <t>TA 5.1 – Ejecutando las pruebas de regresión de los casos de uso de los incrementos 1 y 2</t>
        </is>
      </c>
      <c r="C126" s="9" t="inlineStr">
        <is>
          <t>Josué Barrera</t>
        </is>
      </c>
      <c r="D126" s="34" t="inlineStr">
        <is>
          <t>Incremento 3</t>
        </is>
      </c>
      <c r="E126" s="7" t="n">
        <v>8</v>
      </c>
      <c r="F126" s="7" t="inlineStr">
        <is>
          <t>28-09-2026</t>
        </is>
      </c>
      <c r="G126" s="7" t="inlineStr">
        <is>
          <t>30-09-2026</t>
        </is>
      </c>
      <c r="H126" s="7" t="n"/>
      <c r="I126" s="7" t="inlineStr">
        <is>
          <t>En proceso</t>
        </is>
      </c>
    </row>
    <row r="127" ht="15.75" customHeight="1">
      <c r="A127" s="7" t="inlineStr">
        <is>
          <t>T-082</t>
        </is>
      </c>
      <c r="B127" s="8" t="inlineStr">
        <is>
          <t>TA 5.2 – Documentando las pruebas de casos de uso heredadas</t>
        </is>
      </c>
      <c r="C127" s="9" t="inlineStr">
        <is>
          <t>Rocío Olguín</t>
        </is>
      </c>
      <c r="D127" s="34" t="inlineStr">
        <is>
          <t>Incremento 3</t>
        </is>
      </c>
      <c r="E127" s="7" t="n">
        <v>6</v>
      </c>
      <c r="F127" s="7" t="inlineStr">
        <is>
          <t>29-09-2026</t>
        </is>
      </c>
      <c r="G127" s="7" t="inlineStr">
        <is>
          <t>01-10-2026</t>
        </is>
      </c>
      <c r="H127" s="7" t="n"/>
      <c r="I127" s="7" t="inlineStr">
        <is>
          <t>En proceso</t>
        </is>
      </c>
    </row>
    <row r="128" ht="15.75" customHeight="1">
      <c r="A128" s="7" t="inlineStr">
        <is>
          <t>T-083</t>
        </is>
      </c>
      <c r="B128" s="8" t="inlineStr">
        <is>
          <t>TA 5.3 – Documentando las pruebas de casos de uso del incremento 3</t>
        </is>
      </c>
      <c r="C128" s="9" t="inlineStr">
        <is>
          <t>Catalina Lino</t>
        </is>
      </c>
      <c r="D128" s="34" t="inlineStr">
        <is>
          <t>Incremento 3</t>
        </is>
      </c>
      <c r="E128" s="7" t="n">
        <v>8</v>
      </c>
      <c r="F128" s="7" t="inlineStr">
        <is>
          <t>29-09-2026</t>
        </is>
      </c>
      <c r="G128" s="7" t="inlineStr">
        <is>
          <t>01-10-2026</t>
        </is>
      </c>
      <c r="H128" s="7" t="n"/>
      <c r="I128" s="7" t="inlineStr">
        <is>
          <t>En proceso</t>
        </is>
      </c>
    </row>
    <row r="129" ht="15.75" customHeight="1">
      <c r="A129" s="7" t="inlineStr">
        <is>
          <t>T-084</t>
        </is>
      </c>
      <c r="B129" s="8" t="inlineStr">
        <is>
          <t>TA 5.4 – Registrando la evidencia de las tres iteraciones de pruebas</t>
        </is>
      </c>
      <c r="C129" s="9" t="inlineStr">
        <is>
          <t>Josué Barrera</t>
        </is>
      </c>
      <c r="D129" s="34" t="inlineStr">
        <is>
          <t>Incremento 3</t>
        </is>
      </c>
      <c r="E129" s="7" t="n">
        <v>6</v>
      </c>
      <c r="F129" s="7" t="inlineStr">
        <is>
          <t>01-10-2026</t>
        </is>
      </c>
      <c r="G129" s="7" t="inlineStr">
        <is>
          <t>02-10-2026</t>
        </is>
      </c>
      <c r="H129" s="7" t="n"/>
      <c r="I129" s="7" t="inlineStr">
        <is>
          <t>En proceso</t>
        </is>
      </c>
    </row>
    <row r="130" ht="15.75" customHeight="1">
      <c r="A130" s="7" t="inlineStr">
        <is>
          <t>T-085</t>
        </is>
      </c>
      <c r="B130" s="8" t="inlineStr">
        <is>
          <t>TA 5.5 – Revisando la coherencia entre el documento y el sistema construido</t>
        </is>
      </c>
      <c r="C130" s="9" t="inlineStr">
        <is>
          <t>Roberto Seguel</t>
        </is>
      </c>
      <c r="D130" s="34" t="inlineStr">
        <is>
          <t>Incremento 3</t>
        </is>
      </c>
      <c r="E130" s="7" t="n">
        <v>4</v>
      </c>
      <c r="F130" s="7" t="inlineStr">
        <is>
          <t>02-10-2026</t>
        </is>
      </c>
      <c r="G130" s="7" t="inlineStr">
        <is>
          <t>03-10-2026</t>
        </is>
      </c>
      <c r="H130" s="7" t="n"/>
      <c r="I130" s="7" t="inlineStr">
        <is>
          <t>En proceso</t>
        </is>
      </c>
    </row>
    <row r="131" ht="15.75" customHeight="1">
      <c r="A131" s="47" t="inlineStr">
        <is>
          <t>Subtotal Sprint 3 · Incremento 3</t>
        </is>
      </c>
      <c r="B131" s="42" t="n"/>
      <c r="C131" s="42" t="n"/>
      <c r="D131" s="44" t="n"/>
      <c r="E131" s="35">
        <f>SUM(E98:E130)</f>
        <v/>
      </c>
      <c r="F131" s="36" t="n"/>
      <c r="G131" s="36" t="n"/>
      <c r="H131" s="35" t="n"/>
      <c r="I131" s="36" t="n"/>
    </row>
    <row r="132" ht="15.75" customHeight="1"/>
    <row r="133" ht="15.75" customHeight="1">
      <c r="A133" s="49" t="inlineStr">
        <is>
          <t>TOTAL ACUMULADO DE LOS TRES INCREMENTOS (114 tareas)</t>
        </is>
      </c>
      <c r="B133" s="42" t="n"/>
      <c r="C133" s="42" t="n"/>
      <c r="D133" s="42" t="n"/>
      <c r="E133" s="37">
        <f>E40+E95+E131</f>
        <v/>
      </c>
      <c r="F133" s="37" t="n"/>
      <c r="G133" s="37" t="n"/>
      <c r="H133" s="37" t="n"/>
      <c r="I133" s="37" t="n"/>
    </row>
    <row r="134" ht="15.75" customHeight="1"/>
    <row r="135" ht="15.75" customHeight="1">
      <c r="A135" s="38" t="inlineStr">
        <is>
          <t>Morado: tareas del Incremento 1. Azul: tareas del Incremento 2. Verde: tareas del Incremento 3.</t>
        </is>
      </c>
    </row>
    <row r="136" ht="15.75" customHeight="1">
      <c r="A136" s="38" t="inlineStr">
        <is>
          <t>Las HH estimadas y reales de cada sprint se suman con fórmulas; el total acumulado es la suma de los tres subtotales.</t>
        </is>
      </c>
    </row>
    <row r="137" ht="15.75" customHeight="1">
      <c r="A137" s="38" t="inlineStr">
        <is>
          <t>Nota: las HH Reales del Sprint 3 se registran cuando el sprint finalice; mientras tanto la columna queda vacía y los gráficos no dependen de ella.</t>
        </is>
      </c>
    </row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29:I29"/>
    <mergeCell ref="A40:D40"/>
    <mergeCell ref="A11:I11"/>
    <mergeCell ref="A5:I5"/>
    <mergeCell ref="A131:D131"/>
    <mergeCell ref="A42:I42"/>
    <mergeCell ref="A36:I36"/>
    <mergeCell ref="A95:D95"/>
    <mergeCell ref="A6:I6"/>
    <mergeCell ref="A97:I97"/>
    <mergeCell ref="A133:D133"/>
    <mergeCell ref="A16:I16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ColWidth="14.453125" defaultRowHeight="15" customHeight="1"/>
  <cols>
    <col width="7" customWidth="1" min="1" max="1"/>
    <col width="10" customWidth="1" min="2" max="2"/>
    <col width="17" customWidth="1" min="3" max="3"/>
    <col width="20" customWidth="1" min="4" max="4"/>
    <col width="17" customWidth="1" min="5" max="5"/>
    <col width="20" customWidth="1" min="6" max="7"/>
    <col width="8.7265625" customWidth="1" min="8" max="26"/>
  </cols>
  <sheetData>
    <row r="1" ht="15.5" customHeight="1">
      <c r="A1" s="1" t="inlineStr">
        <is>
          <t>Gráficas de seguimiento — Gráficas Incremento 2</t>
        </is>
      </c>
    </row>
    <row r="2" ht="14.5" customHeight="1">
      <c r="A2" s="2" t="inlineStr">
        <is>
          <t>Burn-Down y Burn-Up del Sprint 2. Los datos salen de la fila «Horas pendientes del Sprint 2» de la tabla de esfuerzo.</t>
        </is>
      </c>
    </row>
    <row r="4" ht="23" customHeight="1">
      <c r="A4" s="5" t="inlineStr">
        <is>
          <t>Día</t>
        </is>
      </c>
      <c r="B4" s="5" t="inlineStr">
        <is>
          <t>Fecha</t>
        </is>
      </c>
      <c r="C4" s="5" t="inlineStr">
        <is>
          <t>Pendiente real (HH)</t>
        </is>
      </c>
      <c r="D4" s="5" t="inlineStr">
        <is>
          <t>Pendiente planificado (HH)</t>
        </is>
      </c>
      <c r="E4" s="5" t="inlineStr">
        <is>
          <t>Acumulado real (HH)</t>
        </is>
      </c>
      <c r="F4" s="5" t="inlineStr">
        <is>
          <t>Acumulado planificado (HH)</t>
        </is>
      </c>
      <c r="G4" s="5" t="inlineStr">
        <is>
          <t>Alcance comprometido (HH)</t>
        </is>
      </c>
    </row>
    <row r="5" ht="14.5" customHeight="1">
      <c r="A5" s="7" t="n">
        <v>0</v>
      </c>
      <c r="B5" s="7" t="inlineStr">
        <is>
          <t>Inicio</t>
        </is>
      </c>
      <c r="C5" s="7">
        <f>'Tabla de Esfuerzo'!$H$8</f>
        <v/>
      </c>
      <c r="D5" s="7">
        <f>'Tabla de Esfuerzo'!$H$8</f>
        <v/>
      </c>
      <c r="E5" s="7" t="n">
        <v>0</v>
      </c>
      <c r="F5" s="7" t="n">
        <v>0</v>
      </c>
      <c r="G5" s="7">
        <f>'Tabla de Esfuerzo'!$H$8</f>
        <v/>
      </c>
    </row>
    <row r="6" ht="14.5" customHeight="1">
      <c r="A6" s="7" t="n">
        <v>1</v>
      </c>
      <c r="B6" s="7" t="inlineStr">
        <is>
          <t>24-08</t>
        </is>
      </c>
      <c r="C6" s="7">
        <f>'Tabla de Esfuerzo'!Z8</f>
        <v/>
      </c>
      <c r="D6" s="7">
        <f>ROUND('Tabla de Esfuerzo'!$H$8*(1-A6/21),0)</f>
        <v/>
      </c>
      <c r="E6" s="7">
        <f>'Tabla de Esfuerzo'!$H$8-C6</f>
        <v/>
      </c>
      <c r="F6" s="7">
        <f>'Tabla de Esfuerzo'!$H$8-D6</f>
        <v/>
      </c>
      <c r="G6" s="7">
        <f>'Tabla de Esfuerzo'!$H$8</f>
        <v/>
      </c>
    </row>
    <row r="7" ht="14.5" customHeight="1">
      <c r="A7" s="7" t="n">
        <v>2</v>
      </c>
      <c r="B7" s="7" t="inlineStr">
        <is>
          <t>25-08</t>
        </is>
      </c>
      <c r="C7" s="7">
        <f>'Tabla de Esfuerzo'!AA8</f>
        <v/>
      </c>
      <c r="D7" s="7">
        <f>ROUND('Tabla de Esfuerzo'!$H$8*(1-A7/21),0)</f>
        <v/>
      </c>
      <c r="E7" s="7">
        <f>'Tabla de Esfuerzo'!$H$8-C7</f>
        <v/>
      </c>
      <c r="F7" s="7">
        <f>'Tabla de Esfuerzo'!$H$8-D7</f>
        <v/>
      </c>
      <c r="G7" s="7">
        <f>'Tabla de Esfuerzo'!$H$8</f>
        <v/>
      </c>
    </row>
    <row r="8" ht="14.5" customHeight="1">
      <c r="A8" s="7" t="n">
        <v>3</v>
      </c>
      <c r="B8" s="7" t="inlineStr">
        <is>
          <t>26-08</t>
        </is>
      </c>
      <c r="C8" s="7">
        <f>'Tabla de Esfuerzo'!AB8</f>
        <v/>
      </c>
      <c r="D8" s="7">
        <f>ROUND('Tabla de Esfuerzo'!$H$8*(1-A8/21),0)</f>
        <v/>
      </c>
      <c r="E8" s="7">
        <f>'Tabla de Esfuerzo'!$H$8-C8</f>
        <v/>
      </c>
      <c r="F8" s="7">
        <f>'Tabla de Esfuerzo'!$H$8-D8</f>
        <v/>
      </c>
      <c r="G8" s="7">
        <f>'Tabla de Esfuerzo'!$H$8</f>
        <v/>
      </c>
    </row>
    <row r="9" ht="14.5" customHeight="1">
      <c r="A9" s="7" t="n">
        <v>4</v>
      </c>
      <c r="B9" s="7" t="inlineStr">
        <is>
          <t>27-08</t>
        </is>
      </c>
      <c r="C9" s="7">
        <f>'Tabla de Esfuerzo'!AC8</f>
        <v/>
      </c>
      <c r="D9" s="7">
        <f>ROUND('Tabla de Esfuerzo'!$H$8*(1-A9/21),0)</f>
        <v/>
      </c>
      <c r="E9" s="7">
        <f>'Tabla de Esfuerzo'!$H$8-C9</f>
        <v/>
      </c>
      <c r="F9" s="7">
        <f>'Tabla de Esfuerzo'!$H$8-D9</f>
        <v/>
      </c>
      <c r="G9" s="7">
        <f>'Tabla de Esfuerzo'!$H$8</f>
        <v/>
      </c>
    </row>
    <row r="10" ht="14.5" customHeight="1">
      <c r="A10" s="7" t="n">
        <v>5</v>
      </c>
      <c r="B10" s="7" t="inlineStr">
        <is>
          <t>28-08</t>
        </is>
      </c>
      <c r="C10" s="7">
        <f>'Tabla de Esfuerzo'!AD8</f>
        <v/>
      </c>
      <c r="D10" s="7">
        <f>ROUND('Tabla de Esfuerzo'!$H$8*(1-A10/21),0)</f>
        <v/>
      </c>
      <c r="E10" s="7">
        <f>'Tabla de Esfuerzo'!$H$8-C10</f>
        <v/>
      </c>
      <c r="F10" s="7">
        <f>'Tabla de Esfuerzo'!$H$8-D10</f>
        <v/>
      </c>
      <c r="G10" s="7">
        <f>'Tabla de Esfuerzo'!$H$8</f>
        <v/>
      </c>
    </row>
    <row r="11" ht="14.5" customHeight="1">
      <c r="A11" s="7" t="n">
        <v>6</v>
      </c>
      <c r="B11" s="7" t="inlineStr">
        <is>
          <t>29-08</t>
        </is>
      </c>
      <c r="C11" s="7">
        <f>'Tabla de Esfuerzo'!AE8</f>
        <v/>
      </c>
      <c r="D11" s="7">
        <f>ROUND('Tabla de Esfuerzo'!$H$8*(1-A11/21),0)</f>
        <v/>
      </c>
      <c r="E11" s="7">
        <f>'Tabla de Esfuerzo'!$H$8-C11</f>
        <v/>
      </c>
      <c r="F11" s="7">
        <f>'Tabla de Esfuerzo'!$H$8-D11</f>
        <v/>
      </c>
      <c r="G11" s="7">
        <f>'Tabla de Esfuerzo'!$H$8</f>
        <v/>
      </c>
    </row>
    <row r="12" ht="14.5" customHeight="1">
      <c r="A12" s="7" t="n">
        <v>7</v>
      </c>
      <c r="B12" s="7" t="inlineStr">
        <is>
          <t>30-08</t>
        </is>
      </c>
      <c r="C12" s="7">
        <f>'Tabla de Esfuerzo'!AF8</f>
        <v/>
      </c>
      <c r="D12" s="7">
        <f>ROUND('Tabla de Esfuerzo'!$H$8*(1-A12/21),0)</f>
        <v/>
      </c>
      <c r="E12" s="7">
        <f>'Tabla de Esfuerzo'!$H$8-C12</f>
        <v/>
      </c>
      <c r="F12" s="7">
        <f>'Tabla de Esfuerzo'!$H$8-D12</f>
        <v/>
      </c>
      <c r="G12" s="7">
        <f>'Tabla de Esfuerzo'!$H$8</f>
        <v/>
      </c>
    </row>
    <row r="13" ht="14.5" customHeight="1">
      <c r="A13" s="7" t="n">
        <v>8</v>
      </c>
      <c r="B13" s="7" t="inlineStr">
        <is>
          <t>31-08</t>
        </is>
      </c>
      <c r="C13" s="7">
        <f>'Tabla de Esfuerzo'!AG8</f>
        <v/>
      </c>
      <c r="D13" s="7">
        <f>ROUND('Tabla de Esfuerzo'!$H$8*(1-A13/21),0)</f>
        <v/>
      </c>
      <c r="E13" s="7">
        <f>'Tabla de Esfuerzo'!$H$8-C13</f>
        <v/>
      </c>
      <c r="F13" s="7">
        <f>'Tabla de Esfuerzo'!$H$8-D13</f>
        <v/>
      </c>
      <c r="G13" s="7">
        <f>'Tabla de Esfuerzo'!$H$8</f>
        <v/>
      </c>
    </row>
    <row r="14" ht="14.5" customHeight="1">
      <c r="A14" s="7" t="n">
        <v>9</v>
      </c>
      <c r="B14" s="7" t="inlineStr">
        <is>
          <t>01-09</t>
        </is>
      </c>
      <c r="C14" s="7">
        <f>'Tabla de Esfuerzo'!AH8</f>
        <v/>
      </c>
      <c r="D14" s="7">
        <f>ROUND('Tabla de Esfuerzo'!$H$8*(1-A14/21),0)</f>
        <v/>
      </c>
      <c r="E14" s="7">
        <f>'Tabla de Esfuerzo'!$H$8-C14</f>
        <v/>
      </c>
      <c r="F14" s="7">
        <f>'Tabla de Esfuerzo'!$H$8-D14</f>
        <v/>
      </c>
      <c r="G14" s="7">
        <f>'Tabla de Esfuerzo'!$H$8</f>
        <v/>
      </c>
    </row>
    <row r="15" ht="14.5" customHeight="1">
      <c r="A15" s="7" t="n">
        <v>10</v>
      </c>
      <c r="B15" s="7" t="inlineStr">
        <is>
          <t>02-09</t>
        </is>
      </c>
      <c r="C15" s="7">
        <f>'Tabla de Esfuerzo'!AI8</f>
        <v/>
      </c>
      <c r="D15" s="7">
        <f>ROUND('Tabla de Esfuerzo'!$H$8*(1-A15/21),0)</f>
        <v/>
      </c>
      <c r="E15" s="7">
        <f>'Tabla de Esfuerzo'!$H$8-C15</f>
        <v/>
      </c>
      <c r="F15" s="7">
        <f>'Tabla de Esfuerzo'!$H$8-D15</f>
        <v/>
      </c>
      <c r="G15" s="7">
        <f>'Tabla de Esfuerzo'!$H$8</f>
        <v/>
      </c>
    </row>
    <row r="16" ht="14.5" customHeight="1">
      <c r="A16" s="7" t="n">
        <v>11</v>
      </c>
      <c r="B16" s="7" t="inlineStr">
        <is>
          <t>03-09</t>
        </is>
      </c>
      <c r="C16" s="7">
        <f>'Tabla de Esfuerzo'!AJ8</f>
        <v/>
      </c>
      <c r="D16" s="7">
        <f>ROUND('Tabla de Esfuerzo'!$H$8*(1-A16/21),0)</f>
        <v/>
      </c>
      <c r="E16" s="7">
        <f>'Tabla de Esfuerzo'!$H$8-C16</f>
        <v/>
      </c>
      <c r="F16" s="7">
        <f>'Tabla de Esfuerzo'!$H$8-D16</f>
        <v/>
      </c>
      <c r="G16" s="7">
        <f>'Tabla de Esfuerzo'!$H$8</f>
        <v/>
      </c>
    </row>
    <row r="17" ht="14.5" customHeight="1">
      <c r="A17" s="7" t="n">
        <v>12</v>
      </c>
      <c r="B17" s="7" t="inlineStr">
        <is>
          <t>04-09</t>
        </is>
      </c>
      <c r="C17" s="7">
        <f>'Tabla de Esfuerzo'!AK8</f>
        <v/>
      </c>
      <c r="D17" s="7">
        <f>ROUND('Tabla de Esfuerzo'!$H$8*(1-A17/21),0)</f>
        <v/>
      </c>
      <c r="E17" s="7">
        <f>'Tabla de Esfuerzo'!$H$8-C17</f>
        <v/>
      </c>
      <c r="F17" s="7">
        <f>'Tabla de Esfuerzo'!$H$8-D17</f>
        <v/>
      </c>
      <c r="G17" s="7">
        <f>'Tabla de Esfuerzo'!$H$8</f>
        <v/>
      </c>
    </row>
    <row r="18" ht="14.5" customHeight="1">
      <c r="A18" s="7" t="n">
        <v>13</v>
      </c>
      <c r="B18" s="7" t="inlineStr">
        <is>
          <t>05-09</t>
        </is>
      </c>
      <c r="C18" s="7">
        <f>'Tabla de Esfuerzo'!AL8</f>
        <v/>
      </c>
      <c r="D18" s="7">
        <f>ROUND('Tabla de Esfuerzo'!$H$8*(1-A18/21),0)</f>
        <v/>
      </c>
      <c r="E18" s="7">
        <f>'Tabla de Esfuerzo'!$H$8-C18</f>
        <v/>
      </c>
      <c r="F18" s="7">
        <f>'Tabla de Esfuerzo'!$H$8-D18</f>
        <v/>
      </c>
      <c r="G18" s="7">
        <f>'Tabla de Esfuerzo'!$H$8</f>
        <v/>
      </c>
    </row>
    <row r="19" ht="14.5" customHeight="1">
      <c r="A19" s="7" t="n">
        <v>14</v>
      </c>
      <c r="B19" s="7" t="inlineStr">
        <is>
          <t>06-09</t>
        </is>
      </c>
      <c r="C19" s="7">
        <f>'Tabla de Esfuerzo'!AM8</f>
        <v/>
      </c>
      <c r="D19" s="7">
        <f>ROUND('Tabla de Esfuerzo'!$H$8*(1-A19/21),0)</f>
        <v/>
      </c>
      <c r="E19" s="7">
        <f>'Tabla de Esfuerzo'!$H$8-C19</f>
        <v/>
      </c>
      <c r="F19" s="7">
        <f>'Tabla de Esfuerzo'!$H$8-D19</f>
        <v/>
      </c>
      <c r="G19" s="7">
        <f>'Tabla de Esfuerzo'!$H$8</f>
        <v/>
      </c>
    </row>
    <row r="20" ht="14.5" customHeight="1">
      <c r="A20" s="7" t="n">
        <v>15</v>
      </c>
      <c r="B20" s="7" t="inlineStr">
        <is>
          <t>07-09</t>
        </is>
      </c>
      <c r="C20" s="7">
        <f>'Tabla de Esfuerzo'!AN8</f>
        <v/>
      </c>
      <c r="D20" s="7">
        <f>ROUND('Tabla de Esfuerzo'!$H$8*(1-A20/21),0)</f>
        <v/>
      </c>
      <c r="E20" s="7">
        <f>'Tabla de Esfuerzo'!$H$8-C20</f>
        <v/>
      </c>
      <c r="F20" s="7">
        <f>'Tabla de Esfuerzo'!$H$8-D20</f>
        <v/>
      </c>
      <c r="G20" s="7">
        <f>'Tabla de Esfuerzo'!$H$8</f>
        <v/>
      </c>
    </row>
    <row r="21" ht="15.75" customHeight="1">
      <c r="A21" s="7" t="n">
        <v>16</v>
      </c>
      <c r="B21" s="7" t="inlineStr">
        <is>
          <t>08-09</t>
        </is>
      </c>
      <c r="C21" s="7">
        <f>'Tabla de Esfuerzo'!AO8</f>
        <v/>
      </c>
      <c r="D21" s="7">
        <f>ROUND('Tabla de Esfuerzo'!$H$8*(1-A21/21),0)</f>
        <v/>
      </c>
      <c r="E21" s="7">
        <f>'Tabla de Esfuerzo'!$H$8-C21</f>
        <v/>
      </c>
      <c r="F21" s="7">
        <f>'Tabla de Esfuerzo'!$H$8-D21</f>
        <v/>
      </c>
      <c r="G21" s="7">
        <f>'Tabla de Esfuerzo'!$H$8</f>
        <v/>
      </c>
    </row>
    <row r="22" ht="15.75" customHeight="1">
      <c r="A22" s="7" t="n">
        <v>17</v>
      </c>
      <c r="B22" s="7" t="inlineStr">
        <is>
          <t>09-09</t>
        </is>
      </c>
      <c r="C22" s="7">
        <f>'Tabla de Esfuerzo'!AP8</f>
        <v/>
      </c>
      <c r="D22" s="7">
        <f>ROUND('Tabla de Esfuerzo'!$H$8*(1-A22/21),0)</f>
        <v/>
      </c>
      <c r="E22" s="7">
        <f>'Tabla de Esfuerzo'!$H$8-C22</f>
        <v/>
      </c>
      <c r="F22" s="7">
        <f>'Tabla de Esfuerzo'!$H$8-D22</f>
        <v/>
      </c>
      <c r="G22" s="7">
        <f>'Tabla de Esfuerzo'!$H$8</f>
        <v/>
      </c>
    </row>
    <row r="23" ht="15.75" customHeight="1">
      <c r="A23" s="7" t="n">
        <v>18</v>
      </c>
      <c r="B23" s="7" t="inlineStr">
        <is>
          <t>10-09</t>
        </is>
      </c>
      <c r="C23" s="7">
        <f>'Tabla de Esfuerzo'!AQ8</f>
        <v/>
      </c>
      <c r="D23" s="7">
        <f>ROUND('Tabla de Esfuerzo'!$H$8*(1-A23/21),0)</f>
        <v/>
      </c>
      <c r="E23" s="7">
        <f>'Tabla de Esfuerzo'!$H$8-C23</f>
        <v/>
      </c>
      <c r="F23" s="7">
        <f>'Tabla de Esfuerzo'!$H$8-D23</f>
        <v/>
      </c>
      <c r="G23" s="7">
        <f>'Tabla de Esfuerzo'!$H$8</f>
        <v/>
      </c>
    </row>
    <row r="24" ht="15.75" customHeight="1">
      <c r="A24" s="7" t="n">
        <v>19</v>
      </c>
      <c r="B24" s="7" t="inlineStr">
        <is>
          <t>11-09</t>
        </is>
      </c>
      <c r="C24" s="7">
        <f>'Tabla de Esfuerzo'!AR8</f>
        <v/>
      </c>
      <c r="D24" s="7">
        <f>ROUND('Tabla de Esfuerzo'!$H$8*(1-A24/21),0)</f>
        <v/>
      </c>
      <c r="E24" s="7">
        <f>'Tabla de Esfuerzo'!$H$8-C24</f>
        <v/>
      </c>
      <c r="F24" s="7">
        <f>'Tabla de Esfuerzo'!$H$8-D24</f>
        <v/>
      </c>
      <c r="G24" s="7">
        <f>'Tabla de Esfuerzo'!$H$8</f>
        <v/>
      </c>
    </row>
    <row r="25" ht="15.75" customHeight="1">
      <c r="A25" s="7" t="n">
        <v>20</v>
      </c>
      <c r="B25" s="7" t="inlineStr">
        <is>
          <t>12-09</t>
        </is>
      </c>
      <c r="C25" s="7">
        <f>'Tabla de Esfuerzo'!AS8</f>
        <v/>
      </c>
      <c r="D25" s="7">
        <f>ROUND('Tabla de Esfuerzo'!$H$8*(1-A25/21),0)</f>
        <v/>
      </c>
      <c r="E25" s="7">
        <f>'Tabla de Esfuerzo'!$H$8-C25</f>
        <v/>
      </c>
      <c r="F25" s="7">
        <f>'Tabla de Esfuerzo'!$H$8-D25</f>
        <v/>
      </c>
      <c r="G25" s="7">
        <f>'Tabla de Esfuerzo'!$H$8</f>
        <v/>
      </c>
    </row>
    <row r="26" ht="15.75" customHeight="1">
      <c r="A26" s="7" t="n">
        <v>21</v>
      </c>
      <c r="B26" s="7" t="inlineStr">
        <is>
          <t>13-09</t>
        </is>
      </c>
      <c r="C26" s="7">
        <f>'Tabla de Esfuerzo'!AT8</f>
        <v/>
      </c>
      <c r="D26" s="7">
        <f>ROUND('Tabla de Esfuerzo'!$H$8*(1-A26/21),0)</f>
        <v/>
      </c>
      <c r="E26" s="7">
        <f>'Tabla de Esfuerzo'!$H$8-C26</f>
        <v/>
      </c>
      <c r="F26" s="7">
        <f>'Tabla de Esfuerzo'!$H$8-D26</f>
        <v/>
      </c>
      <c r="G26" s="7">
        <f>'Tabla de Esfuerzo'!$H$8</f>
        <v/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tabSelected="1" workbookViewId="0">
      <selection activeCell="G33" sqref="G33"/>
    </sheetView>
  </sheetViews>
  <sheetFormatPr baseColWidth="8" defaultColWidth="14.453125" defaultRowHeight="15" customHeight="1"/>
  <cols>
    <col width="7" customWidth="1" min="1" max="1"/>
    <col width="10" customWidth="1" min="2" max="2"/>
    <col width="17" customWidth="1" min="3" max="3"/>
    <col width="20" customWidth="1" min="4" max="4"/>
    <col width="17" customWidth="1" min="5" max="5"/>
    <col width="20" customWidth="1" min="6" max="7"/>
    <col width="8.7265625" customWidth="1" min="8" max="26"/>
  </cols>
  <sheetData>
    <row r="1" ht="15.5" customHeight="1">
      <c r="A1" s="1" t="inlineStr">
        <is>
          <t>Gráficas de seguimiento — Gráficas Incremento 3</t>
        </is>
      </c>
    </row>
    <row r="2" ht="14.5" customHeight="1">
      <c r="A2" s="2" t="inlineStr">
        <is>
          <t>Burn-Down y Burn-Up del Sprint 3. Los datos salen de la fila «Horas pendientes del Sprint 3» de la tabla de esfuerzo.</t>
        </is>
      </c>
    </row>
    <row r="4" ht="23" customHeight="1">
      <c r="A4" s="5" t="inlineStr">
        <is>
          <t>Día</t>
        </is>
      </c>
      <c r="B4" s="5" t="inlineStr">
        <is>
          <t>Fecha</t>
        </is>
      </c>
      <c r="C4" s="5" t="inlineStr">
        <is>
          <t>Pendiente real (HH)</t>
        </is>
      </c>
      <c r="D4" s="5" t="inlineStr">
        <is>
          <t>Pendiente planificado (HH)</t>
        </is>
      </c>
      <c r="E4" s="5" t="inlineStr">
        <is>
          <t>Acumulado real (HH)</t>
        </is>
      </c>
      <c r="F4" s="5" t="inlineStr">
        <is>
          <t>Acumulado planificado (HH)</t>
        </is>
      </c>
      <c r="G4" s="5" t="inlineStr">
        <is>
          <t>Alcance comprometido (HH)</t>
        </is>
      </c>
    </row>
    <row r="5" ht="14.5" customHeight="1">
      <c r="A5" s="7" t="n">
        <v>0</v>
      </c>
      <c r="B5" s="7" t="inlineStr">
        <is>
          <t>Inicio</t>
        </is>
      </c>
      <c r="C5" s="7">
        <f>'Tabla de Esfuerzo'!$E$9</f>
        <v/>
      </c>
      <c r="D5" s="7">
        <f>Planificación!$E$131</f>
        <v/>
      </c>
      <c r="E5" s="7" t="n">
        <v>0</v>
      </c>
      <c r="F5" s="7">
        <f>Planificación!$E$131-D5</f>
        <v/>
      </c>
      <c r="G5" s="7">
        <f>'Tabla de Esfuerzo'!$E$9</f>
        <v/>
      </c>
    </row>
    <row r="6" ht="14.5" customHeight="1">
      <c r="A6" s="7" t="n">
        <v>1</v>
      </c>
      <c r="B6" s="7" t="inlineStr">
        <is>
          <t>15-09</t>
        </is>
      </c>
      <c r="C6" s="7">
        <f>'Tabla de Esfuerzo'!AU9</f>
        <v/>
      </c>
      <c r="D6" s="7">
        <f>ROUND(Planificación!$E$131*(1-A6/19),0)</f>
        <v/>
      </c>
      <c r="E6" s="7">
        <f>'Tabla de Esfuerzo'!$E$9-C6</f>
        <v/>
      </c>
      <c r="F6" s="7">
        <f>Planificación!$E$131-D6</f>
        <v/>
      </c>
      <c r="G6" s="7">
        <f>'Tabla de Esfuerzo'!$E$9</f>
        <v/>
      </c>
    </row>
    <row r="7" ht="14.5" customHeight="1">
      <c r="A7" s="7" t="n">
        <v>2</v>
      </c>
      <c r="B7" s="7" t="inlineStr">
        <is>
          <t>16-09</t>
        </is>
      </c>
      <c r="C7" s="7">
        <f>'Tabla de Esfuerzo'!AV9</f>
        <v/>
      </c>
      <c r="D7" s="7">
        <f>ROUND(Planificación!$E$131*(1-A7/19),0)</f>
        <v/>
      </c>
      <c r="E7" s="7">
        <f>'Tabla de Esfuerzo'!$E$9-C7</f>
        <v/>
      </c>
      <c r="F7" s="7">
        <f>Planificación!$E$131-D7</f>
        <v/>
      </c>
      <c r="G7" s="7">
        <f>'Tabla de Esfuerzo'!$E$9</f>
        <v/>
      </c>
    </row>
    <row r="8" ht="14.5" customHeight="1">
      <c r="A8" s="7" t="n">
        <v>3</v>
      </c>
      <c r="B8" s="7" t="inlineStr">
        <is>
          <t>17-09</t>
        </is>
      </c>
      <c r="C8" s="7">
        <f>'Tabla de Esfuerzo'!AW9</f>
        <v/>
      </c>
      <c r="D8" s="7">
        <f>ROUND(Planificación!$E$131*(1-A8/19),0)</f>
        <v/>
      </c>
      <c r="E8" s="7">
        <f>'Tabla de Esfuerzo'!$E$9-C8</f>
        <v/>
      </c>
      <c r="F8" s="7">
        <f>Planificación!$E$131-D8</f>
        <v/>
      </c>
      <c r="G8" s="7">
        <f>'Tabla de Esfuerzo'!$E$9</f>
        <v/>
      </c>
    </row>
    <row r="9" ht="14.5" customHeight="1">
      <c r="A9" s="7" t="n">
        <v>4</v>
      </c>
      <c r="B9" s="7" t="inlineStr">
        <is>
          <t>18-09</t>
        </is>
      </c>
      <c r="C9" s="7">
        <f>'Tabla de Esfuerzo'!AX9</f>
        <v/>
      </c>
      <c r="D9" s="7">
        <f>ROUND(Planificación!$E$131*(1-A9/19),0)</f>
        <v/>
      </c>
      <c r="E9" s="7">
        <f>'Tabla de Esfuerzo'!$E$9-C9</f>
        <v/>
      </c>
      <c r="F9" s="7">
        <f>Planificación!$E$131-D9</f>
        <v/>
      </c>
      <c r="G9" s="7">
        <f>'Tabla de Esfuerzo'!$E$9</f>
        <v/>
      </c>
    </row>
    <row r="10" ht="14.5" customHeight="1">
      <c r="A10" s="7" t="n">
        <v>5</v>
      </c>
      <c r="B10" s="7" t="inlineStr">
        <is>
          <t>19-09</t>
        </is>
      </c>
      <c r="C10" s="7">
        <f>'Tabla de Esfuerzo'!AY9</f>
        <v/>
      </c>
      <c r="D10" s="7">
        <f>ROUND(Planificación!$E$131*(1-A10/19),0)</f>
        <v/>
      </c>
      <c r="E10" s="7">
        <f>'Tabla de Esfuerzo'!$E$9-C10</f>
        <v/>
      </c>
      <c r="F10" s="7">
        <f>Planificación!$E$131-D10</f>
        <v/>
      </c>
      <c r="G10" s="7">
        <f>'Tabla de Esfuerzo'!$E$9</f>
        <v/>
      </c>
    </row>
    <row r="11" ht="14.5" customHeight="1">
      <c r="A11" s="7" t="n">
        <v>6</v>
      </c>
      <c r="B11" s="7" t="inlineStr">
        <is>
          <t>20-09</t>
        </is>
      </c>
      <c r="C11" s="7">
        <f>'Tabla de Esfuerzo'!AZ9</f>
        <v/>
      </c>
      <c r="D11" s="7">
        <f>ROUND(Planificación!$E$131*(1-A11/19),0)</f>
        <v/>
      </c>
      <c r="E11" s="7">
        <f>'Tabla de Esfuerzo'!$E$9-C11</f>
        <v/>
      </c>
      <c r="F11" s="7">
        <f>Planificación!$E$131-D11</f>
        <v/>
      </c>
      <c r="G11" s="7">
        <f>'Tabla de Esfuerzo'!$E$9</f>
        <v/>
      </c>
    </row>
    <row r="12" ht="14.5" customHeight="1">
      <c r="A12" s="7" t="n">
        <v>7</v>
      </c>
      <c r="B12" s="7" t="inlineStr">
        <is>
          <t>21-09</t>
        </is>
      </c>
      <c r="C12" s="7">
        <f>'Tabla de Esfuerzo'!BA9</f>
        <v/>
      </c>
      <c r="D12" s="7">
        <f>ROUND(Planificación!$E$131*(1-A12/19),0)</f>
        <v/>
      </c>
      <c r="E12" s="7">
        <f>'Tabla de Esfuerzo'!$E$9-C12</f>
        <v/>
      </c>
      <c r="F12" s="7">
        <f>Planificación!$E$131-D12</f>
        <v/>
      </c>
      <c r="G12" s="7">
        <f>'Tabla de Esfuerzo'!$E$9</f>
        <v/>
      </c>
    </row>
    <row r="13" ht="14.5" customHeight="1">
      <c r="A13" s="7" t="n">
        <v>8</v>
      </c>
      <c r="B13" s="7" t="inlineStr">
        <is>
          <t>22-09</t>
        </is>
      </c>
      <c r="C13" s="7">
        <f>'Tabla de Esfuerzo'!BB9</f>
        <v/>
      </c>
      <c r="D13" s="7">
        <f>ROUND(Planificación!$E$131*(1-A13/19),0)</f>
        <v/>
      </c>
      <c r="E13" s="7">
        <f>'Tabla de Esfuerzo'!$E$9-C13</f>
        <v/>
      </c>
      <c r="F13" s="7">
        <f>Planificación!$E$131-D13</f>
        <v/>
      </c>
      <c r="G13" s="7">
        <f>'Tabla de Esfuerzo'!$E$9</f>
        <v/>
      </c>
    </row>
    <row r="14" ht="14.5" customHeight="1">
      <c r="A14" s="7" t="n">
        <v>9</v>
      </c>
      <c r="B14" s="7" t="inlineStr">
        <is>
          <t>23-09</t>
        </is>
      </c>
      <c r="C14" s="7">
        <f>'Tabla de Esfuerzo'!BC9</f>
        <v/>
      </c>
      <c r="D14" s="7">
        <f>ROUND(Planificación!$E$131*(1-A14/19),0)</f>
        <v/>
      </c>
      <c r="E14" s="7">
        <f>'Tabla de Esfuerzo'!$E$9-C14</f>
        <v/>
      </c>
      <c r="F14" s="7">
        <f>Planificación!$E$131-D14</f>
        <v/>
      </c>
      <c r="G14" s="7">
        <f>'Tabla de Esfuerzo'!$E$9</f>
        <v/>
      </c>
    </row>
    <row r="15" ht="14.5" customHeight="1">
      <c r="A15" s="7" t="n">
        <v>10</v>
      </c>
      <c r="B15" s="7" t="inlineStr">
        <is>
          <t>24-09</t>
        </is>
      </c>
      <c r="C15" s="7">
        <f>'Tabla de Esfuerzo'!BD9</f>
        <v/>
      </c>
      <c r="D15" s="7">
        <f>ROUND(Planificación!$E$131*(1-A15/19),0)</f>
        <v/>
      </c>
      <c r="E15" s="7">
        <f>'Tabla de Esfuerzo'!$E$9-C15</f>
        <v/>
      </c>
      <c r="F15" s="7">
        <f>Planificación!$E$131-D15</f>
        <v/>
      </c>
      <c r="G15" s="7">
        <f>'Tabla de Esfuerzo'!$E$9</f>
        <v/>
      </c>
    </row>
    <row r="16" ht="14.5" customHeight="1">
      <c r="A16" s="7" t="n">
        <v>11</v>
      </c>
      <c r="B16" s="7" t="inlineStr">
        <is>
          <t>25-09</t>
        </is>
      </c>
      <c r="C16" s="7">
        <f>'Tabla de Esfuerzo'!BE9</f>
        <v/>
      </c>
      <c r="D16" s="7">
        <f>ROUND(Planificación!$E$131*(1-A16/19),0)</f>
        <v/>
      </c>
      <c r="E16" s="7">
        <f>'Tabla de Esfuerzo'!$E$9-C16</f>
        <v/>
      </c>
      <c r="F16" s="7">
        <f>Planificación!$E$131-D16</f>
        <v/>
      </c>
      <c r="G16" s="7">
        <f>'Tabla de Esfuerzo'!$E$9</f>
        <v/>
      </c>
    </row>
    <row r="17" ht="14.5" customHeight="1">
      <c r="A17" s="7" t="n">
        <v>12</v>
      </c>
      <c r="B17" s="7" t="inlineStr">
        <is>
          <t>26-09</t>
        </is>
      </c>
      <c r="C17" s="7">
        <f>'Tabla de Esfuerzo'!BF9</f>
        <v/>
      </c>
      <c r="D17" s="7">
        <f>ROUND(Planificación!$E$131*(1-A17/19),0)</f>
        <v/>
      </c>
      <c r="E17" s="7">
        <f>'Tabla de Esfuerzo'!$E$9-C17</f>
        <v/>
      </c>
      <c r="F17" s="7">
        <f>Planificación!$E$131-D17</f>
        <v/>
      </c>
      <c r="G17" s="7">
        <f>'Tabla de Esfuerzo'!$E$9</f>
        <v/>
      </c>
    </row>
    <row r="18" ht="14.5" customHeight="1">
      <c r="A18" s="7" t="n">
        <v>13</v>
      </c>
      <c r="B18" s="7" t="inlineStr">
        <is>
          <t>27-09</t>
        </is>
      </c>
      <c r="C18" s="7">
        <f>'Tabla de Esfuerzo'!BG9</f>
        <v/>
      </c>
      <c r="D18" s="7">
        <f>ROUND(Planificación!$E$131*(1-A18/19),0)</f>
        <v/>
      </c>
      <c r="E18" s="7">
        <f>'Tabla de Esfuerzo'!$E$9-C18</f>
        <v/>
      </c>
      <c r="F18" s="7">
        <f>Planificación!$E$131-D18</f>
        <v/>
      </c>
      <c r="G18" s="7">
        <f>'Tabla de Esfuerzo'!$E$9</f>
        <v/>
      </c>
    </row>
    <row r="19" ht="14.5" customHeight="1">
      <c r="A19" s="7" t="n">
        <v>14</v>
      </c>
      <c r="B19" s="7" t="inlineStr">
        <is>
          <t>28-09</t>
        </is>
      </c>
      <c r="C19" s="7">
        <f>'Tabla de Esfuerzo'!BH9</f>
        <v/>
      </c>
      <c r="D19" s="7">
        <f>ROUND(Planificación!$E$131*(1-A19/19),0)</f>
        <v/>
      </c>
      <c r="E19" s="7">
        <f>'Tabla de Esfuerzo'!$E$9-C19</f>
        <v/>
      </c>
      <c r="F19" s="7">
        <f>Planificación!$E$131-D19</f>
        <v/>
      </c>
      <c r="G19" s="7">
        <f>'Tabla de Esfuerzo'!$E$9</f>
        <v/>
      </c>
    </row>
    <row r="20" ht="14.5" customHeight="1">
      <c r="A20" s="7" t="n">
        <v>15</v>
      </c>
      <c r="B20" s="7" t="inlineStr">
        <is>
          <t>29-09</t>
        </is>
      </c>
      <c r="C20" s="7">
        <f>'Tabla de Esfuerzo'!BI9</f>
        <v/>
      </c>
      <c r="D20" s="7">
        <f>ROUND(Planificación!$E$131*(1-A20/19),0)</f>
        <v/>
      </c>
      <c r="E20" s="7">
        <f>'Tabla de Esfuerzo'!$E$9-C20</f>
        <v/>
      </c>
      <c r="F20" s="7">
        <f>Planificación!$E$131-D20</f>
        <v/>
      </c>
      <c r="G20" s="7">
        <f>'Tabla de Esfuerzo'!$E$9</f>
        <v/>
      </c>
    </row>
    <row r="21" ht="15.75" customHeight="1">
      <c r="A21" s="7" t="n">
        <v>16</v>
      </c>
      <c r="B21" s="7" t="inlineStr">
        <is>
          <t>30-09</t>
        </is>
      </c>
      <c r="C21" s="7">
        <f>'Tabla de Esfuerzo'!BJ9</f>
        <v/>
      </c>
      <c r="D21" s="7">
        <f>ROUND(Planificación!$E$131*(1-A21/19),0)</f>
        <v/>
      </c>
      <c r="E21" s="7">
        <f>'Tabla de Esfuerzo'!$E$9-C21</f>
        <v/>
      </c>
      <c r="F21" s="7">
        <f>Planificación!$E$131-D21</f>
        <v/>
      </c>
      <c r="G21" s="7">
        <f>'Tabla de Esfuerzo'!$E$9</f>
        <v/>
      </c>
    </row>
    <row r="22" ht="15.75" customHeight="1">
      <c r="A22" s="7" t="n">
        <v>17</v>
      </c>
      <c r="B22" s="7" t="inlineStr">
        <is>
          <t>01-10</t>
        </is>
      </c>
      <c r="C22" s="7">
        <f>'Tabla de Esfuerzo'!BK9</f>
        <v/>
      </c>
      <c r="D22" s="7">
        <f>ROUND(Planificación!$E$131*(1-A22/19),0)</f>
        <v/>
      </c>
      <c r="E22" s="7">
        <f>'Tabla de Esfuerzo'!$E$9-C22</f>
        <v/>
      </c>
      <c r="F22" s="7">
        <f>Planificación!$E$131-D22</f>
        <v/>
      </c>
      <c r="G22" s="7">
        <f>'Tabla de Esfuerzo'!$E$9</f>
        <v/>
      </c>
    </row>
    <row r="23" ht="15.75" customHeight="1">
      <c r="A23" s="7" t="n">
        <v>18</v>
      </c>
      <c r="B23" s="7" t="inlineStr">
        <is>
          <t>02-10</t>
        </is>
      </c>
      <c r="C23" s="7">
        <f>'Tabla de Esfuerzo'!BL9</f>
        <v/>
      </c>
      <c r="D23" s="7">
        <f>ROUND(Planificación!$E$131*(1-A23/19),0)</f>
        <v/>
      </c>
      <c r="E23" s="7">
        <f>'Tabla de Esfuerzo'!$E$9-C23</f>
        <v/>
      </c>
      <c r="F23" s="7">
        <f>Planificación!$E$131-D23</f>
        <v/>
      </c>
      <c r="G23" s="7">
        <f>'Tabla de Esfuerzo'!$E$9</f>
        <v/>
      </c>
    </row>
    <row r="24" ht="15.75" customHeight="1">
      <c r="A24" s="7" t="n">
        <v>19</v>
      </c>
      <c r="B24" s="7" t="inlineStr">
        <is>
          <t>03-10</t>
        </is>
      </c>
      <c r="C24" s="7">
        <f>'Tabla de Esfuerzo'!BM9</f>
        <v/>
      </c>
      <c r="D24" s="7">
        <f>ROUND(Planificación!$E$131*(1-A24/19),0)</f>
        <v/>
      </c>
      <c r="E24" s="7">
        <f>'Tabla de Esfuerzo'!$E$9-C24</f>
        <v/>
      </c>
      <c r="F24" s="7">
        <f>Planificación!$E$131-D24</f>
        <v/>
      </c>
      <c r="G24" s="7">
        <f>'Tabla de Esfuerzo'!$E$9</f>
        <v/>
      </c>
    </row>
    <row r="25" ht="15.75" customHeight="1">
      <c r="A25" s="7" t="n"/>
      <c r="B25" s="7" t="n"/>
      <c r="C25" s="7" t="n"/>
      <c r="D25" s="7" t="n"/>
      <c r="E25" s="7" t="n"/>
      <c r="F25" s="7" t="n"/>
      <c r="G25" s="7" t="n"/>
    </row>
    <row r="26" ht="15.75" customHeight="1">
      <c r="A26" s="7" t="n"/>
      <c r="B26" s="7" t="n"/>
      <c r="C26" s="7" t="n"/>
      <c r="D26" s="7" t="n"/>
      <c r="E26" s="7" t="n"/>
      <c r="F26" s="7" t="n"/>
      <c r="G26" s="7" t="n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134"/>
  <sheetViews>
    <sheetView zoomScale="93" workbookViewId="0">
      <pane xSplit="4" ySplit="4" topLeftCell="E87" activePane="bottomRight" state="frozen"/>
      <selection pane="topRight" activeCell="E1" sqref="E1"/>
      <selection pane="bottomLeft" activeCell="A5" sqref="A5"/>
      <selection pane="bottomRight" activeCell="A94" sqref="A94:BM94"/>
    </sheetView>
  </sheetViews>
  <sheetFormatPr baseColWidth="8" defaultColWidth="14.453125" defaultRowHeight="15" customHeight="1"/>
  <cols>
    <col width="60" customWidth="1" min="1" max="1"/>
    <col width="19" customWidth="1" min="2" max="2"/>
    <col width="12" customWidth="1" min="3" max="3"/>
    <col width="6" customWidth="1" min="4" max="4"/>
    <col width="5.54296875" customWidth="1" min="5" max="46"/>
  </cols>
  <sheetData>
    <row r="1" ht="15.5" customHeight="1">
      <c r="A1" s="1" t="inlineStr">
        <is>
          <t>Tabla: “Tabla de esfuerzo acumulada de los Incrementos 1, 2 y 3”</t>
        </is>
      </c>
    </row>
    <row r="2" ht="14.5" customHeight="1">
      <c r="A2" s="2" t="inlineStr">
        <is>
          <t>61 días de sprint: 21 del Sprint 1 (morado), 21 del Sprint 2 (azul) y 19 del Sprint 3 (verde). Cada celda son las horas-hombre que quedaban pendientes de esa tarea ese día.</t>
        </is>
      </c>
    </row>
    <row r="4" ht="14.5" customHeight="1">
      <c r="A4" s="4" t="inlineStr">
        <is>
          <t>Tarea</t>
        </is>
      </c>
      <c r="B4" s="4" t="inlineStr">
        <is>
          <t>Responsable</t>
        </is>
      </c>
      <c r="C4" s="4" t="inlineStr">
        <is>
          <t>Incremento</t>
        </is>
      </c>
      <c r="D4" s="6" t="inlineStr">
        <is>
          <t>HH</t>
        </is>
      </c>
      <c r="E4" s="6" t="inlineStr">
        <is>
          <t>27-07</t>
        </is>
      </c>
      <c r="F4" s="6" t="inlineStr">
        <is>
          <t>28-07</t>
        </is>
      </c>
      <c r="G4" s="6" t="inlineStr">
        <is>
          <t>29-07</t>
        </is>
      </c>
      <c r="H4" s="6" t="inlineStr">
        <is>
          <t>30-07</t>
        </is>
      </c>
      <c r="I4" s="6" t="inlineStr">
        <is>
          <t>31-07</t>
        </is>
      </c>
      <c r="J4" s="6" t="inlineStr">
        <is>
          <t>01-08</t>
        </is>
      </c>
      <c r="K4" s="6" t="inlineStr">
        <is>
          <t>02-08</t>
        </is>
      </c>
      <c r="L4" s="6" t="inlineStr">
        <is>
          <t>03-08</t>
        </is>
      </c>
      <c r="M4" s="6" t="inlineStr">
        <is>
          <t>04-08</t>
        </is>
      </c>
      <c r="N4" s="6" t="inlineStr">
        <is>
          <t>05-08</t>
        </is>
      </c>
      <c r="O4" s="6" t="inlineStr">
        <is>
          <t>06-08</t>
        </is>
      </c>
      <c r="P4" s="6" t="inlineStr">
        <is>
          <t>07-08</t>
        </is>
      </c>
      <c r="Q4" s="6" t="inlineStr">
        <is>
          <t>08-08</t>
        </is>
      </c>
      <c r="R4" s="6" t="inlineStr">
        <is>
          <t>09-08</t>
        </is>
      </c>
      <c r="S4" s="6" t="inlineStr">
        <is>
          <t>10-08</t>
        </is>
      </c>
      <c r="T4" s="6" t="inlineStr">
        <is>
          <t>11-08</t>
        </is>
      </c>
      <c r="U4" s="6" t="inlineStr">
        <is>
          <t>12-08</t>
        </is>
      </c>
      <c r="V4" s="6" t="inlineStr">
        <is>
          <t>13-08</t>
        </is>
      </c>
      <c r="W4" s="6" t="inlineStr">
        <is>
          <t>14-08</t>
        </is>
      </c>
      <c r="X4" s="6" t="inlineStr">
        <is>
          <t>15-08</t>
        </is>
      </c>
      <c r="Y4" s="6" t="inlineStr">
        <is>
          <t>16-08</t>
        </is>
      </c>
      <c r="Z4" s="6" t="inlineStr">
        <is>
          <t>24-08</t>
        </is>
      </c>
      <c r="AA4" s="6" t="inlineStr">
        <is>
          <t>25-08</t>
        </is>
      </c>
      <c r="AB4" s="6" t="inlineStr">
        <is>
          <t>26-08</t>
        </is>
      </c>
      <c r="AC4" s="6" t="inlineStr">
        <is>
          <t>27-08</t>
        </is>
      </c>
      <c r="AD4" s="6" t="inlineStr">
        <is>
          <t>28-08</t>
        </is>
      </c>
      <c r="AE4" s="6" t="inlineStr">
        <is>
          <t>29-08</t>
        </is>
      </c>
      <c r="AF4" s="6" t="inlineStr">
        <is>
          <t>30-08</t>
        </is>
      </c>
      <c r="AG4" s="6" t="inlineStr">
        <is>
          <t>31-08</t>
        </is>
      </c>
      <c r="AH4" s="6" t="inlineStr">
        <is>
          <t>01-09</t>
        </is>
      </c>
      <c r="AI4" s="6" t="inlineStr">
        <is>
          <t>02-09</t>
        </is>
      </c>
      <c r="AJ4" s="6" t="inlineStr">
        <is>
          <t>03-09</t>
        </is>
      </c>
      <c r="AK4" s="6" t="inlineStr">
        <is>
          <t>04-09</t>
        </is>
      </c>
      <c r="AL4" s="6" t="inlineStr">
        <is>
          <t>05-09</t>
        </is>
      </c>
      <c r="AM4" s="6" t="inlineStr">
        <is>
          <t>06-09</t>
        </is>
      </c>
      <c r="AN4" s="6" t="inlineStr">
        <is>
          <t>07-09</t>
        </is>
      </c>
      <c r="AO4" s="6" t="inlineStr">
        <is>
          <t>08-09</t>
        </is>
      </c>
      <c r="AP4" s="6" t="inlineStr">
        <is>
          <t>09-09</t>
        </is>
      </c>
      <c r="AQ4" s="6" t="inlineStr">
        <is>
          <t>10-09</t>
        </is>
      </c>
      <c r="AR4" s="6" t="inlineStr">
        <is>
          <t>11-09</t>
        </is>
      </c>
      <c r="AS4" s="6" t="inlineStr">
        <is>
          <t>12-09</t>
        </is>
      </c>
      <c r="AT4" s="6" t="inlineStr">
        <is>
          <t>13-09</t>
        </is>
      </c>
      <c r="AU4" s="6" t="inlineStr">
        <is>
          <t>15-09</t>
        </is>
      </c>
      <c r="AV4" s="6" t="inlineStr">
        <is>
          <t>16-09</t>
        </is>
      </c>
      <c r="AW4" s="6" t="inlineStr">
        <is>
          <t>17-09</t>
        </is>
      </c>
      <c r="AX4" s="6" t="inlineStr">
        <is>
          <t>18-09</t>
        </is>
      </c>
      <c r="AY4" s="6" t="inlineStr">
        <is>
          <t>19-09</t>
        </is>
      </c>
      <c r="AZ4" s="6" t="inlineStr">
        <is>
          <t>20-09</t>
        </is>
      </c>
      <c r="BA4" s="6" t="inlineStr">
        <is>
          <t>21-09</t>
        </is>
      </c>
      <c r="BB4" s="6" t="inlineStr">
        <is>
          <t>22-09</t>
        </is>
      </c>
      <c r="BC4" s="6" t="inlineStr">
        <is>
          <t>23-09</t>
        </is>
      </c>
      <c r="BD4" s="6" t="inlineStr">
        <is>
          <t>24-09</t>
        </is>
      </c>
      <c r="BE4" s="6" t="inlineStr">
        <is>
          <t>25-09</t>
        </is>
      </c>
      <c r="BF4" s="6" t="inlineStr">
        <is>
          <t>26-09</t>
        </is>
      </c>
      <c r="BG4" s="6" t="inlineStr">
        <is>
          <t>27-09</t>
        </is>
      </c>
      <c r="BH4" s="6" t="inlineStr">
        <is>
          <t>28-09</t>
        </is>
      </c>
      <c r="BI4" s="6" t="inlineStr">
        <is>
          <t>29-09</t>
        </is>
      </c>
      <c r="BJ4" s="6" t="inlineStr">
        <is>
          <t>30-09</t>
        </is>
      </c>
      <c r="BK4" s="6" t="inlineStr">
        <is>
          <t>01-10</t>
        </is>
      </c>
      <c r="BL4" s="6" t="inlineStr">
        <is>
          <t>02-10</t>
        </is>
      </c>
      <c r="BM4" s="6" t="inlineStr">
        <is>
          <t>03-10</t>
        </is>
      </c>
    </row>
    <row r="5" ht="14.5" customHeight="1">
      <c r="A5" s="11" t="inlineStr">
        <is>
          <t>Tareas pendientes</t>
        </is>
      </c>
      <c r="B5" s="12" t="n"/>
      <c r="C5" s="12" t="n"/>
      <c r="D5" s="12" t="n"/>
      <c r="E5" s="13">
        <f>COUNTIF(E11:E39,"&gt;0")+COUNTIF(E41:E92,"&gt;0")+COUNTIF(E95:E127,"&gt;0")</f>
        <v/>
      </c>
      <c r="F5" s="13">
        <f>COUNTIF(F11:F39,"&gt;0")+COUNTIF(F41:F92,"&gt;0")+COUNTIF(F95:F127,"&gt;0")</f>
        <v/>
      </c>
      <c r="G5" s="13">
        <f>COUNTIF(G11:G39,"&gt;0")+COUNTIF(G41:G92,"&gt;0")+COUNTIF(G95:G127,"&gt;0")</f>
        <v/>
      </c>
      <c r="H5" s="13">
        <f>COUNTIF(H11:H39,"&gt;0")+COUNTIF(H41:H92,"&gt;0")+COUNTIF(H95:H127,"&gt;0")</f>
        <v/>
      </c>
      <c r="I5" s="13">
        <f>COUNTIF(I11:I39,"&gt;0")+COUNTIF(I41:I92,"&gt;0")+COUNTIF(I95:I127,"&gt;0")</f>
        <v/>
      </c>
      <c r="J5" s="13">
        <f>COUNTIF(J11:J39,"&gt;0")+COUNTIF(J41:J92,"&gt;0")+COUNTIF(J95:J127,"&gt;0")</f>
        <v/>
      </c>
      <c r="K5" s="13">
        <f>COUNTIF(K11:K39,"&gt;0")+COUNTIF(K41:K92,"&gt;0")+COUNTIF(K95:K127,"&gt;0")</f>
        <v/>
      </c>
      <c r="L5" s="13">
        <f>COUNTIF(L11:L39,"&gt;0")+COUNTIF(L41:L92,"&gt;0")+COUNTIF(L95:L127,"&gt;0")</f>
        <v/>
      </c>
      <c r="M5" s="13">
        <f>COUNTIF(M11:M39,"&gt;0")+COUNTIF(M41:M92,"&gt;0")+COUNTIF(M95:M127,"&gt;0")</f>
        <v/>
      </c>
      <c r="N5" s="13">
        <f>COUNTIF(N11:N39,"&gt;0")+COUNTIF(N41:N92,"&gt;0")+COUNTIF(N95:N127,"&gt;0")</f>
        <v/>
      </c>
      <c r="O5" s="13">
        <f>COUNTIF(O11:O39,"&gt;0")+COUNTIF(O41:O92,"&gt;0")+COUNTIF(O95:O127,"&gt;0")</f>
        <v/>
      </c>
      <c r="P5" s="13">
        <f>COUNTIF(P11:P39,"&gt;0")+COUNTIF(P41:P92,"&gt;0")+COUNTIF(P95:P127,"&gt;0")</f>
        <v/>
      </c>
      <c r="Q5" s="13">
        <f>COUNTIF(Q11:Q39,"&gt;0")+COUNTIF(Q41:Q92,"&gt;0")+COUNTIF(Q95:Q127,"&gt;0")</f>
        <v/>
      </c>
      <c r="R5" s="13">
        <f>COUNTIF(R11:R39,"&gt;0")+COUNTIF(R41:R92,"&gt;0")+COUNTIF(R95:R127,"&gt;0")</f>
        <v/>
      </c>
      <c r="S5" s="13">
        <f>COUNTIF(S11:S39,"&gt;0")+COUNTIF(S41:S92,"&gt;0")+COUNTIF(S95:S127,"&gt;0")</f>
        <v/>
      </c>
      <c r="T5" s="13">
        <f>COUNTIF(T11:T39,"&gt;0")+COUNTIF(T41:T92,"&gt;0")+COUNTIF(T95:T127,"&gt;0")</f>
        <v/>
      </c>
      <c r="U5" s="13">
        <f>COUNTIF(U11:U39,"&gt;0")+COUNTIF(U41:U92,"&gt;0")+COUNTIF(U95:U127,"&gt;0")</f>
        <v/>
      </c>
      <c r="V5" s="13">
        <f>COUNTIF(V11:V39,"&gt;0")+COUNTIF(V41:V92,"&gt;0")+COUNTIF(V95:V127,"&gt;0")</f>
        <v/>
      </c>
      <c r="W5" s="13">
        <f>COUNTIF(W11:W39,"&gt;0")+COUNTIF(W41:W92,"&gt;0")+COUNTIF(W95:W127,"&gt;0")</f>
        <v/>
      </c>
      <c r="X5" s="13">
        <f>COUNTIF(X11:X39,"&gt;0")+COUNTIF(X41:X92,"&gt;0")+COUNTIF(X95:X127,"&gt;0")</f>
        <v/>
      </c>
      <c r="Y5" s="13">
        <f>COUNTIF(Y11:Y39,"&gt;0")+COUNTIF(Y41:Y92,"&gt;0")+COUNTIF(Y95:Y127,"&gt;0")</f>
        <v/>
      </c>
      <c r="Z5" s="13">
        <f>COUNTIF(Z11:Z39,"&gt;0")+COUNTIF(Z41:Z92,"&gt;0")+COUNTIF(Z95:Z127,"&gt;0")</f>
        <v/>
      </c>
      <c r="AA5" s="13">
        <f>COUNTIF(AA11:AA39,"&gt;0")+COUNTIF(AA41:AA92,"&gt;0")+COUNTIF(AA95:AA127,"&gt;0")</f>
        <v/>
      </c>
      <c r="AB5" s="13">
        <f>COUNTIF(AB11:AB39,"&gt;0")+COUNTIF(AB41:AB92,"&gt;0")+COUNTIF(AB95:AB127,"&gt;0")</f>
        <v/>
      </c>
      <c r="AC5" s="13">
        <f>COUNTIF(AC11:AC39,"&gt;0")+COUNTIF(AC41:AC92,"&gt;0")+COUNTIF(AC95:AC127,"&gt;0")</f>
        <v/>
      </c>
      <c r="AD5" s="13">
        <f>COUNTIF(AD11:AD39,"&gt;0")+COUNTIF(AD41:AD92,"&gt;0")+COUNTIF(AD95:AD127,"&gt;0")</f>
        <v/>
      </c>
      <c r="AE5" s="13">
        <f>COUNTIF(AE11:AE39,"&gt;0")+COUNTIF(AE41:AE92,"&gt;0")+COUNTIF(AE95:AE127,"&gt;0")</f>
        <v/>
      </c>
      <c r="AF5" s="13">
        <f>COUNTIF(AF11:AF39,"&gt;0")+COUNTIF(AF41:AF92,"&gt;0")+COUNTIF(AF95:AF127,"&gt;0")</f>
        <v/>
      </c>
      <c r="AG5" s="13">
        <f>COUNTIF(AG11:AG39,"&gt;0")+COUNTIF(AG41:AG92,"&gt;0")+COUNTIF(AG95:AG127,"&gt;0")</f>
        <v/>
      </c>
      <c r="AH5" s="13">
        <f>COUNTIF(AH11:AH39,"&gt;0")+COUNTIF(AH41:AH92,"&gt;0")+COUNTIF(AH95:AH127,"&gt;0")</f>
        <v/>
      </c>
      <c r="AI5" s="13">
        <f>COUNTIF(AI11:AI39,"&gt;0")+COUNTIF(AI41:AI92,"&gt;0")+COUNTIF(AI95:AI127,"&gt;0")</f>
        <v/>
      </c>
      <c r="AJ5" s="13">
        <f>COUNTIF(AJ11:AJ39,"&gt;0")+COUNTIF(AJ41:AJ92,"&gt;0")+COUNTIF(AJ95:AJ127,"&gt;0")</f>
        <v/>
      </c>
      <c r="AK5" s="13">
        <f>COUNTIF(AK11:AK39,"&gt;0")+COUNTIF(AK41:AK92,"&gt;0")+COUNTIF(AK95:AK127,"&gt;0")</f>
        <v/>
      </c>
      <c r="AL5" s="13">
        <f>COUNTIF(AL11:AL39,"&gt;0")+COUNTIF(AL41:AL92,"&gt;0")+COUNTIF(AL95:AL127,"&gt;0")</f>
        <v/>
      </c>
      <c r="AM5" s="13">
        <f>COUNTIF(AM11:AM39,"&gt;0")+COUNTIF(AM41:AM92,"&gt;0")+COUNTIF(AM95:AM127,"&gt;0")</f>
        <v/>
      </c>
      <c r="AN5" s="13">
        <f>COUNTIF(AN11:AN39,"&gt;0")+COUNTIF(AN41:AN92,"&gt;0")+COUNTIF(AN95:AN127,"&gt;0")</f>
        <v/>
      </c>
      <c r="AO5" s="13">
        <f>COUNTIF(AO11:AO39,"&gt;0")+COUNTIF(AO41:AO92,"&gt;0")+COUNTIF(AO95:AO127,"&gt;0")</f>
        <v/>
      </c>
      <c r="AP5" s="13">
        <f>COUNTIF(AP11:AP39,"&gt;0")+COUNTIF(AP41:AP92,"&gt;0")+COUNTIF(AP95:AP127,"&gt;0")</f>
        <v/>
      </c>
      <c r="AQ5" s="13">
        <f>COUNTIF(AQ11:AQ39,"&gt;0")+COUNTIF(AQ41:AQ92,"&gt;0")+COUNTIF(AQ95:AQ127,"&gt;0")</f>
        <v/>
      </c>
      <c r="AR5" s="13">
        <f>COUNTIF(AR11:AR39,"&gt;0")+COUNTIF(AR41:AR92,"&gt;0")+COUNTIF(AR95:AR127,"&gt;0")</f>
        <v/>
      </c>
      <c r="AS5" s="13">
        <f>COUNTIF(AS11:AS39,"&gt;0")+COUNTIF(AS41:AS92,"&gt;0")+COUNTIF(AS95:AS127,"&gt;0")</f>
        <v/>
      </c>
      <c r="AT5" s="13">
        <f>COUNTIF(AT11:AT39,"&gt;0")+COUNTIF(AT41:AT92,"&gt;0")+COUNTIF(AT95:AT127,"&gt;0")</f>
        <v/>
      </c>
      <c r="AU5">
        <f>COUNTIF(AU11:AU39,"&gt;0")+COUNTIF(AU41:AU92,"&gt;0")+COUNTIF(AU95:AU127,"&gt;0")</f>
        <v/>
      </c>
      <c r="AV5">
        <f>COUNTIF(AV11:AV39,"&gt;0")+COUNTIF(AV41:AV92,"&gt;0")+COUNTIF(AV95:AV127,"&gt;0")</f>
        <v/>
      </c>
      <c r="AW5">
        <f>COUNTIF(AW11:AW39,"&gt;0")+COUNTIF(AW41:AW92,"&gt;0")+COUNTIF(AW95:AW127,"&gt;0")</f>
        <v/>
      </c>
      <c r="AX5">
        <f>COUNTIF(AX11:AX39,"&gt;0")+COUNTIF(AX41:AX92,"&gt;0")+COUNTIF(AX95:AX127,"&gt;0")</f>
        <v/>
      </c>
      <c r="AY5">
        <f>COUNTIF(AY11:AY39,"&gt;0")+COUNTIF(AY41:AY92,"&gt;0")+COUNTIF(AY95:AY127,"&gt;0")</f>
        <v/>
      </c>
      <c r="AZ5">
        <f>COUNTIF(AZ11:AZ39,"&gt;0")+COUNTIF(AZ41:AZ92,"&gt;0")+COUNTIF(AZ95:AZ127,"&gt;0")</f>
        <v/>
      </c>
      <c r="BA5">
        <f>COUNTIF(BA11:BA39,"&gt;0")+COUNTIF(BA41:BA92,"&gt;0")+COUNTIF(BA95:BA127,"&gt;0")</f>
        <v/>
      </c>
      <c r="BB5">
        <f>COUNTIF(BB11:BB39,"&gt;0")+COUNTIF(BB41:BB92,"&gt;0")+COUNTIF(BB95:BB127,"&gt;0")</f>
        <v/>
      </c>
      <c r="BC5">
        <f>COUNTIF(BC11:BC39,"&gt;0")+COUNTIF(BC41:BC92,"&gt;0")+COUNTIF(BC95:BC127,"&gt;0")</f>
        <v/>
      </c>
      <c r="BD5">
        <f>COUNTIF(BD11:BD39,"&gt;0")+COUNTIF(BD41:BD92,"&gt;0")+COUNTIF(BD95:BD127,"&gt;0")</f>
        <v/>
      </c>
      <c r="BE5">
        <f>COUNTIF(BE11:BE39,"&gt;0")+COUNTIF(BE41:BE92,"&gt;0")+COUNTIF(BE95:BE127,"&gt;0")</f>
        <v/>
      </c>
      <c r="BF5">
        <f>COUNTIF(BF11:BF39,"&gt;0")+COUNTIF(BF41:BF92,"&gt;0")+COUNTIF(BF95:BF127,"&gt;0")</f>
        <v/>
      </c>
      <c r="BG5">
        <f>COUNTIF(BG11:BG39,"&gt;0")+COUNTIF(BG41:BG92,"&gt;0")+COUNTIF(BG95:BG127,"&gt;0")</f>
        <v/>
      </c>
      <c r="BH5">
        <f>COUNTIF(BH11:BH39,"&gt;0")+COUNTIF(BH41:BH92,"&gt;0")+COUNTIF(BH95:BH127,"&gt;0")</f>
        <v/>
      </c>
      <c r="BI5">
        <f>COUNTIF(BI11:BI39,"&gt;0")+COUNTIF(BI41:BI92,"&gt;0")+COUNTIF(BI95:BI127,"&gt;0")</f>
        <v/>
      </c>
      <c r="BJ5">
        <f>COUNTIF(BJ11:BJ39,"&gt;0")+COUNTIF(BJ41:BJ92,"&gt;0")+COUNTIF(BJ95:BJ127,"&gt;0")</f>
        <v/>
      </c>
      <c r="BK5">
        <f>COUNTIF(BK11:BK39,"&gt;0")+COUNTIF(BK41:BK92,"&gt;0")+COUNTIF(BK95:BK127,"&gt;0")</f>
        <v/>
      </c>
      <c r="BL5">
        <f>COUNTIF(BL11:BL39,"&gt;0")+COUNTIF(BL41:BL92,"&gt;0")+COUNTIF(BL95:BL127,"&gt;0")</f>
        <v/>
      </c>
      <c r="BM5">
        <f>COUNTIF(BM11:BM39,"&gt;0")+COUNTIF(BM41:BM92,"&gt;0")+COUNTIF(BM95:BM127,"&gt;0")</f>
        <v/>
      </c>
    </row>
    <row r="6" ht="14.5" customHeight="1">
      <c r="A6" s="11" t="inlineStr">
        <is>
          <t>Horas pendientes acumuladas</t>
        </is>
      </c>
      <c r="B6" s="12" t="n"/>
      <c r="C6" s="12" t="n"/>
      <c r="D6" s="12" t="n"/>
      <c r="E6" s="13">
        <f>SUM(E11:E39)+SUM(E41:E92)+SUM(E95:E127)</f>
        <v/>
      </c>
      <c r="F6" s="13">
        <f>SUM(F11:F39)+SUM(F41:F92)+SUM(F95:F127)</f>
        <v/>
      </c>
      <c r="G6" s="13">
        <f>SUM(G11:G39)+SUM(G41:G92)+SUM(G95:G127)</f>
        <v/>
      </c>
      <c r="H6" s="13">
        <f>SUM(H11:H39)+SUM(H41:H92)+SUM(H95:H127)</f>
        <v/>
      </c>
      <c r="I6" s="13">
        <f>SUM(I11:I39)+SUM(I41:I92)+SUM(I95:I127)</f>
        <v/>
      </c>
      <c r="J6" s="13">
        <f>SUM(J11:J39)+SUM(J41:J92)+SUM(J95:J127)</f>
        <v/>
      </c>
      <c r="K6" s="13">
        <f>SUM(K11:K39)+SUM(K41:K92)+SUM(K95:K127)</f>
        <v/>
      </c>
      <c r="L6" s="13">
        <f>SUM(L11:L39)+SUM(L41:L92)+SUM(L95:L127)</f>
        <v/>
      </c>
      <c r="M6" s="13">
        <f>SUM(M11:M39)+SUM(M41:M92)+SUM(M95:M127)</f>
        <v/>
      </c>
      <c r="N6" s="13">
        <f>SUM(N11:N39)+SUM(N41:N92)+SUM(N95:N127)</f>
        <v/>
      </c>
      <c r="O6" s="13">
        <f>SUM(O11:O39)+SUM(O41:O92)+SUM(O95:O127)</f>
        <v/>
      </c>
      <c r="P6" s="13">
        <f>SUM(P11:P39)+SUM(P41:P92)+SUM(P95:P127)</f>
        <v/>
      </c>
      <c r="Q6" s="13">
        <f>SUM(Q11:Q39)+SUM(Q41:Q92)+SUM(Q95:Q127)</f>
        <v/>
      </c>
      <c r="R6" s="13">
        <f>SUM(R11:R39)+SUM(R41:R92)+SUM(R95:R127)</f>
        <v/>
      </c>
      <c r="S6" s="13">
        <f>SUM(S11:S39)+SUM(S41:S92)+SUM(S95:S127)</f>
        <v/>
      </c>
      <c r="T6" s="13">
        <f>SUM(T11:T39)+SUM(T41:T92)+SUM(T95:T127)</f>
        <v/>
      </c>
      <c r="U6" s="13">
        <f>SUM(U11:U39)+SUM(U41:U92)+SUM(U95:U127)</f>
        <v/>
      </c>
      <c r="V6" s="13">
        <f>SUM(V11:V39)+SUM(V41:V92)+SUM(V95:V127)</f>
        <v/>
      </c>
      <c r="W6" s="13">
        <f>SUM(W11:W39)+SUM(W41:W92)+SUM(W95:W127)</f>
        <v/>
      </c>
      <c r="X6" s="13">
        <f>SUM(X11:X39)+SUM(X41:X92)+SUM(X95:X127)</f>
        <v/>
      </c>
      <c r="Y6" s="13">
        <f>SUM(Y11:Y39)+SUM(Y41:Y92)+SUM(Y95:Y127)</f>
        <v/>
      </c>
      <c r="Z6" s="13">
        <f>SUM(Z11:Z39)+SUM(Z41:Z92)+SUM(Z95:Z127)</f>
        <v/>
      </c>
      <c r="AA6" s="13">
        <f>SUM(AA11:AA39)+SUM(AA41:AA92)+SUM(AA95:AA127)</f>
        <v/>
      </c>
      <c r="AB6" s="13">
        <f>SUM(AB11:AB39)+SUM(AB41:AB92)+SUM(AB95:AB127)</f>
        <v/>
      </c>
      <c r="AC6" s="13">
        <f>SUM(AC11:AC39)+SUM(AC41:AC92)+SUM(AC95:AC127)</f>
        <v/>
      </c>
      <c r="AD6" s="13">
        <f>SUM(AD11:AD39)+SUM(AD41:AD92)+SUM(AD95:AD127)</f>
        <v/>
      </c>
      <c r="AE6" s="13">
        <f>SUM(AE11:AE39)+SUM(AE41:AE92)+SUM(AE95:AE127)</f>
        <v/>
      </c>
      <c r="AF6" s="13">
        <f>SUM(AF11:AF39)+SUM(AF41:AF92)+SUM(AF95:AF127)</f>
        <v/>
      </c>
      <c r="AG6" s="13">
        <f>SUM(AG11:AG39)+SUM(AG41:AG92)+SUM(AG95:AG127)</f>
        <v/>
      </c>
      <c r="AH6" s="13">
        <f>SUM(AH11:AH39)+SUM(AH41:AH92)+SUM(AH95:AH127)</f>
        <v/>
      </c>
      <c r="AI6" s="13">
        <f>SUM(AI11:AI39)+SUM(AI41:AI92)+SUM(AI95:AI127)</f>
        <v/>
      </c>
      <c r="AJ6" s="13">
        <f>SUM(AJ11:AJ39)+SUM(AJ41:AJ92)+SUM(AJ95:AJ127)</f>
        <v/>
      </c>
      <c r="AK6" s="13">
        <f>SUM(AK11:AK39)+SUM(AK41:AK92)+SUM(AK95:AK127)</f>
        <v/>
      </c>
      <c r="AL6" s="13">
        <f>SUM(AL11:AL39)+SUM(AL41:AL92)+SUM(AL95:AL127)</f>
        <v/>
      </c>
      <c r="AM6" s="13">
        <f>SUM(AM11:AM39)+SUM(AM41:AM92)+SUM(AM95:AM127)</f>
        <v/>
      </c>
      <c r="AN6" s="13">
        <f>SUM(AN11:AN39)+SUM(AN41:AN92)+SUM(AN95:AN127)</f>
        <v/>
      </c>
      <c r="AO6" s="13">
        <f>SUM(AO11:AO39)+SUM(AO41:AO92)+SUM(AO95:AO127)</f>
        <v/>
      </c>
      <c r="AP6" s="13">
        <f>SUM(AP11:AP39)+SUM(AP41:AP92)+SUM(AP95:AP127)</f>
        <v/>
      </c>
      <c r="AQ6" s="13">
        <f>SUM(AQ11:AQ39)+SUM(AQ41:AQ92)+SUM(AQ95:AQ127)</f>
        <v/>
      </c>
      <c r="AR6" s="13">
        <f>SUM(AR11:AR39)+SUM(AR41:AR92)+SUM(AR95:AR127)</f>
        <v/>
      </c>
      <c r="AS6" s="13">
        <f>SUM(AS11:AS39)+SUM(AS41:AS92)+SUM(AS95:AS127)</f>
        <v/>
      </c>
      <c r="AT6" s="13">
        <f>SUM(AT11:AT39)+SUM(AT41:AT92)+SUM(AT95:AT127)</f>
        <v/>
      </c>
      <c r="AU6">
        <f>SUM(AU11:AU39)+SUM(AU41:AU92)+SUM(AU95:AU127)</f>
        <v/>
      </c>
      <c r="AV6">
        <f>SUM(AV11:AV39)+SUM(AV41:AV92)+SUM(AV95:AV127)</f>
        <v/>
      </c>
      <c r="AW6">
        <f>SUM(AW11:AW39)+SUM(AW41:AW92)+SUM(AW95:AW127)</f>
        <v/>
      </c>
      <c r="AX6">
        <f>SUM(AX11:AX39)+SUM(AX41:AX92)+SUM(AX95:AX127)</f>
        <v/>
      </c>
      <c r="AY6">
        <f>SUM(AY11:AY39)+SUM(AY41:AY92)+SUM(AY95:AY127)</f>
        <v/>
      </c>
      <c r="AZ6">
        <f>SUM(AZ11:AZ39)+SUM(AZ41:AZ92)+SUM(AZ95:AZ127)</f>
        <v/>
      </c>
      <c r="BA6">
        <f>SUM(BA11:BA39)+SUM(BA41:BA92)+SUM(BA95:BA127)</f>
        <v/>
      </c>
      <c r="BB6">
        <f>SUM(BB11:BB39)+SUM(BB41:BB92)+SUM(BB95:BB127)</f>
        <v/>
      </c>
      <c r="BC6">
        <f>SUM(BC11:BC39)+SUM(BC41:BC92)+SUM(BC95:BC127)</f>
        <v/>
      </c>
      <c r="BD6">
        <f>SUM(BD11:BD39)+SUM(BD41:BD92)+SUM(BD95:BD127)</f>
        <v/>
      </c>
      <c r="BE6">
        <f>SUM(BE11:BE39)+SUM(BE41:BE92)+SUM(BE95:BE127)</f>
        <v/>
      </c>
      <c r="BF6">
        <f>SUM(BF11:BF39)+SUM(BF41:BF92)+SUM(BF95:BF127)</f>
        <v/>
      </c>
      <c r="BG6">
        <f>SUM(BG11:BG39)+SUM(BG41:BG92)+SUM(BG95:BG127)</f>
        <v/>
      </c>
      <c r="BH6">
        <f>SUM(BH11:BH39)+SUM(BH41:BH92)+SUM(BH95:BH127)</f>
        <v/>
      </c>
      <c r="BI6">
        <f>SUM(BI11:BI39)+SUM(BI41:BI92)+SUM(BI95:BI127)</f>
        <v/>
      </c>
      <c r="BJ6">
        <f>SUM(BJ11:BJ39)+SUM(BJ41:BJ92)+SUM(BJ95:BJ127)</f>
        <v/>
      </c>
      <c r="BK6">
        <f>SUM(BK11:BK39)+SUM(BK41:BK92)+SUM(BK95:BK127)</f>
        <v/>
      </c>
      <c r="BL6">
        <f>SUM(BL11:BL39)+SUM(BL41:BL92)+SUM(BL95:BL127)</f>
        <v/>
      </c>
      <c r="BM6">
        <f>SUM(BM11:BM39)+SUM(BM41:BM92)+SUM(BM95:BM127)</f>
        <v/>
      </c>
    </row>
    <row r="7" ht="14.5" customHeight="1">
      <c r="A7" s="15" t="inlineStr">
        <is>
          <t>Horas pendientes del Sprint 1</t>
        </is>
      </c>
      <c r="B7" s="16" t="n"/>
      <c r="C7" s="16" t="n"/>
      <c r="D7" s="16" t="n"/>
      <c r="E7" s="17">
        <f>SUM(E11:E39)</f>
        <v/>
      </c>
      <c r="F7" s="17">
        <f>SUM(F11:F39)</f>
        <v/>
      </c>
      <c r="G7" s="17">
        <f>SUM(G11:G39)</f>
        <v/>
      </c>
      <c r="H7" s="17">
        <f>SUM(H11:H39)</f>
        <v/>
      </c>
      <c r="I7" s="17">
        <f>SUM(I11:I39)</f>
        <v/>
      </c>
      <c r="J7" s="17">
        <f>SUM(J11:J39)</f>
        <v/>
      </c>
      <c r="K7" s="17">
        <f>SUM(K11:K39)</f>
        <v/>
      </c>
      <c r="L7" s="17">
        <f>SUM(L11:L39)</f>
        <v/>
      </c>
      <c r="M7" s="17">
        <f>SUM(M11:M39)</f>
        <v/>
      </c>
      <c r="N7" s="17">
        <f>SUM(N11:N39)</f>
        <v/>
      </c>
      <c r="O7" s="17">
        <f>SUM(O11:O39)</f>
        <v/>
      </c>
      <c r="P7" s="17">
        <f>SUM(P11:P39)</f>
        <v/>
      </c>
      <c r="Q7" s="17">
        <f>SUM(Q11:Q39)</f>
        <v/>
      </c>
      <c r="R7" s="17">
        <f>SUM(R11:R39)</f>
        <v/>
      </c>
      <c r="S7" s="17">
        <f>SUM(S11:S39)</f>
        <v/>
      </c>
      <c r="T7" s="17">
        <f>SUM(T11:T39)</f>
        <v/>
      </c>
      <c r="U7" s="17">
        <f>SUM(U11:U39)</f>
        <v/>
      </c>
      <c r="V7" s="17">
        <f>SUM(V11:V39)</f>
        <v/>
      </c>
      <c r="W7" s="17">
        <f>SUM(W11:W39)</f>
        <v/>
      </c>
      <c r="X7" s="17">
        <f>SUM(X11:X39)</f>
        <v/>
      </c>
      <c r="Y7" s="17">
        <f>SUM(Y11:Y39)</f>
        <v/>
      </c>
      <c r="Z7" s="17">
        <f>SUM(Z11:Z39)</f>
        <v/>
      </c>
      <c r="AA7" s="17">
        <f>SUM(AA11:AA39)</f>
        <v/>
      </c>
      <c r="AB7" s="17">
        <f>SUM(AB11:AB39)</f>
        <v/>
      </c>
      <c r="AC7" s="17">
        <f>SUM(AC11:AC39)</f>
        <v/>
      </c>
      <c r="AD7" s="17">
        <f>SUM(AD11:AD39)</f>
        <v/>
      </c>
      <c r="AE7" s="17">
        <f>SUM(AE11:AE39)</f>
        <v/>
      </c>
      <c r="AF7" s="17">
        <f>SUM(AF11:AF39)</f>
        <v/>
      </c>
      <c r="AG7" s="17">
        <f>SUM(AG11:AG39)</f>
        <v/>
      </c>
      <c r="AH7" s="17">
        <f>SUM(AH11:AH39)</f>
        <v/>
      </c>
      <c r="AI7" s="17">
        <f>SUM(AI11:AI39)</f>
        <v/>
      </c>
      <c r="AJ7" s="17">
        <f>SUM(AJ11:AJ39)</f>
        <v/>
      </c>
      <c r="AK7" s="17">
        <f>SUM(AK11:AK39)</f>
        <v/>
      </c>
      <c r="AL7" s="17">
        <f>SUM(AL11:AL39)</f>
        <v/>
      </c>
      <c r="AM7" s="17">
        <f>SUM(AM11:AM39)</f>
        <v/>
      </c>
      <c r="AN7" s="17">
        <f>SUM(AN11:AN39)</f>
        <v/>
      </c>
      <c r="AO7" s="17">
        <f>SUM(AO11:AO39)</f>
        <v/>
      </c>
      <c r="AP7" s="17">
        <f>SUM(AP11:AP39)</f>
        <v/>
      </c>
      <c r="AQ7" s="17">
        <f>SUM(AQ11:AQ39)</f>
        <v/>
      </c>
      <c r="AR7" s="17">
        <f>SUM(AR11:AR39)</f>
        <v/>
      </c>
      <c r="AS7" s="17">
        <f>SUM(AS11:AS39)</f>
        <v/>
      </c>
      <c r="AT7" s="17">
        <f>SUM(AT11:AT39)</f>
        <v/>
      </c>
      <c r="AU7">
        <f>SUM(AU11:AU39)</f>
        <v/>
      </c>
      <c r="AV7">
        <f>SUM(AV11:AV39)</f>
        <v/>
      </c>
      <c r="AW7">
        <f>SUM(AW11:AW39)</f>
        <v/>
      </c>
      <c r="AX7">
        <f>SUM(AX11:AX39)</f>
        <v/>
      </c>
      <c r="AY7">
        <f>SUM(AY11:AY39)</f>
        <v/>
      </c>
      <c r="AZ7">
        <f>SUM(AZ11:AZ39)</f>
        <v/>
      </c>
      <c r="BA7">
        <f>SUM(BA11:BA39)</f>
        <v/>
      </c>
      <c r="BB7">
        <f>SUM(BB11:BB39)</f>
        <v/>
      </c>
      <c r="BC7">
        <f>SUM(BC11:BC39)</f>
        <v/>
      </c>
      <c r="BD7">
        <f>SUM(BD11:BD39)</f>
        <v/>
      </c>
      <c r="BE7">
        <f>SUM(BE11:BE39)</f>
        <v/>
      </c>
      <c r="BF7">
        <f>SUM(BF11:BF39)</f>
        <v/>
      </c>
      <c r="BG7">
        <f>SUM(BG11:BG39)</f>
        <v/>
      </c>
      <c r="BH7">
        <f>SUM(BH11:BH39)</f>
        <v/>
      </c>
      <c r="BI7">
        <f>SUM(BI11:BI39)</f>
        <v/>
      </c>
      <c r="BJ7">
        <f>SUM(BJ11:BJ39)</f>
        <v/>
      </c>
      <c r="BK7">
        <f>SUM(BK11:BK39)</f>
        <v/>
      </c>
      <c r="BL7">
        <f>SUM(BL11:BL39)</f>
        <v/>
      </c>
      <c r="BM7">
        <f>SUM(BM11:BM39)</f>
        <v/>
      </c>
    </row>
    <row r="8" ht="14.5" customHeight="1">
      <c r="A8" s="18" t="inlineStr">
        <is>
          <t>Horas pendientes del Sprint 2</t>
        </is>
      </c>
      <c r="B8" s="19" t="n"/>
      <c r="C8" s="19" t="n"/>
      <c r="D8" s="19" t="n"/>
      <c r="E8" s="21">
        <f>SUM(E41:E92)</f>
        <v/>
      </c>
      <c r="F8" s="21">
        <f>SUM(F41:F92)</f>
        <v/>
      </c>
      <c r="G8" s="21">
        <f>SUM(G41:G92)</f>
        <v/>
      </c>
      <c r="H8" s="21">
        <f>SUM(H41:H92)</f>
        <v/>
      </c>
      <c r="I8" s="21">
        <f>SUM(I41:I92)</f>
        <v/>
      </c>
      <c r="J8" s="21">
        <f>SUM(J41:J92)</f>
        <v/>
      </c>
      <c r="K8" s="21">
        <f>SUM(K41:K92)</f>
        <v/>
      </c>
      <c r="L8" s="21">
        <f>SUM(L41:L92)</f>
        <v/>
      </c>
      <c r="M8" s="21">
        <f>SUM(M41:M92)</f>
        <v/>
      </c>
      <c r="N8" s="21">
        <f>SUM(N41:N92)</f>
        <v/>
      </c>
      <c r="O8" s="21">
        <f>SUM(O41:O92)</f>
        <v/>
      </c>
      <c r="P8" s="21">
        <f>SUM(P41:P92)</f>
        <v/>
      </c>
      <c r="Q8" s="21">
        <f>SUM(Q41:Q92)</f>
        <v/>
      </c>
      <c r="R8" s="21">
        <f>SUM(R41:R92)</f>
        <v/>
      </c>
      <c r="S8" s="21">
        <f>SUM(S41:S92)</f>
        <v/>
      </c>
      <c r="T8" s="21">
        <f>SUM(T41:T92)</f>
        <v/>
      </c>
      <c r="U8" s="21">
        <f>SUM(U41:U92)</f>
        <v/>
      </c>
      <c r="V8" s="21">
        <f>SUM(V41:V92)</f>
        <v/>
      </c>
      <c r="W8" s="21">
        <f>SUM(W41:W92)</f>
        <v/>
      </c>
      <c r="X8" s="21">
        <f>SUM(X41:X92)</f>
        <v/>
      </c>
      <c r="Y8" s="21">
        <f>SUM(Y41:Y92)</f>
        <v/>
      </c>
      <c r="Z8" s="21">
        <f>SUM(Z41:Z92)</f>
        <v/>
      </c>
      <c r="AA8" s="21">
        <f>SUM(AA41:AA92)</f>
        <v/>
      </c>
      <c r="AB8" s="21">
        <f>SUM(AB41:AB92)</f>
        <v/>
      </c>
      <c r="AC8" s="21">
        <f>SUM(AC41:AC92)</f>
        <v/>
      </c>
      <c r="AD8" s="21">
        <f>SUM(AD41:AD92)</f>
        <v/>
      </c>
      <c r="AE8" s="21">
        <f>SUM(AE41:AE92)</f>
        <v/>
      </c>
      <c r="AF8" s="21">
        <f>SUM(AF41:AF92)</f>
        <v/>
      </c>
      <c r="AG8" s="21">
        <f>SUM(AG41:AG92)</f>
        <v/>
      </c>
      <c r="AH8" s="21">
        <f>SUM(AH41:AH92)</f>
        <v/>
      </c>
      <c r="AI8" s="21">
        <f>SUM(AI41:AI92)</f>
        <v/>
      </c>
      <c r="AJ8" s="21">
        <f>SUM(AJ41:AJ92)</f>
        <v/>
      </c>
      <c r="AK8" s="21">
        <f>SUM(AK41:AK92)</f>
        <v/>
      </c>
      <c r="AL8" s="21">
        <f>SUM(AL41:AL92)</f>
        <v/>
      </c>
      <c r="AM8" s="21">
        <f>SUM(AM41:AM92)</f>
        <v/>
      </c>
      <c r="AN8" s="21">
        <f>SUM(AN41:AN92)</f>
        <v/>
      </c>
      <c r="AO8" s="21">
        <f>SUM(AO41:AO92)</f>
        <v/>
      </c>
      <c r="AP8" s="21">
        <f>SUM(AP41:AP92)</f>
        <v/>
      </c>
      <c r="AQ8" s="21">
        <f>SUM(AQ41:AQ92)</f>
        <v/>
      </c>
      <c r="AR8" s="21">
        <f>SUM(AR41:AR92)</f>
        <v/>
      </c>
      <c r="AS8" s="21">
        <f>SUM(AS41:AS92)</f>
        <v/>
      </c>
      <c r="AT8" s="21">
        <f>SUM(AT41:AT92)</f>
        <v/>
      </c>
      <c r="AU8">
        <f>SUM(AU41:AU92)</f>
        <v/>
      </c>
      <c r="AV8">
        <f>SUM(AV41:AV92)</f>
        <v/>
      </c>
      <c r="AW8">
        <f>SUM(AW41:AW92)</f>
        <v/>
      </c>
      <c r="AX8">
        <f>SUM(AX41:AX92)</f>
        <v/>
      </c>
      <c r="AY8">
        <f>SUM(AY41:AY92)</f>
        <v/>
      </c>
      <c r="AZ8">
        <f>SUM(AZ41:AZ92)</f>
        <v/>
      </c>
      <c r="BA8">
        <f>SUM(BA41:BA92)</f>
        <v/>
      </c>
      <c r="BB8">
        <f>SUM(BB41:BB92)</f>
        <v/>
      </c>
      <c r="BC8">
        <f>SUM(BC41:BC92)</f>
        <v/>
      </c>
      <c r="BD8">
        <f>SUM(BD41:BD92)</f>
        <v/>
      </c>
      <c r="BE8">
        <f>SUM(BE41:BE92)</f>
        <v/>
      </c>
      <c r="BF8">
        <f>SUM(BF41:BF92)</f>
        <v/>
      </c>
      <c r="BG8">
        <f>SUM(BG41:BG92)</f>
        <v/>
      </c>
      <c r="BH8">
        <f>SUM(BH41:BH92)</f>
        <v/>
      </c>
      <c r="BI8">
        <f>SUM(BI41:BI92)</f>
        <v/>
      </c>
      <c r="BJ8">
        <f>SUM(BJ41:BJ92)</f>
        <v/>
      </c>
      <c r="BK8">
        <f>SUM(BK41:BK92)</f>
        <v/>
      </c>
      <c r="BL8">
        <f>SUM(BL41:BL92)</f>
        <v/>
      </c>
      <c r="BM8">
        <f>SUM(BM41:BM92)</f>
        <v/>
      </c>
    </row>
    <row r="9" ht="14.5" customHeight="1">
      <c r="A9" s="18" t="inlineStr">
        <is>
          <t>Horas pendientes del Sprint 3</t>
        </is>
      </c>
      <c r="E9" s="21">
        <f>SUM(E95:E127)</f>
        <v/>
      </c>
      <c r="F9" s="21">
        <f>SUM(F95:F127)</f>
        <v/>
      </c>
      <c r="G9" s="21">
        <f>SUM(G95:G127)</f>
        <v/>
      </c>
      <c r="H9" s="21">
        <f>SUM(H95:H127)</f>
        <v/>
      </c>
      <c r="I9" s="21">
        <f>SUM(I95:I127)</f>
        <v/>
      </c>
      <c r="J9" s="21">
        <f>SUM(J95:J127)</f>
        <v/>
      </c>
      <c r="K9" s="21">
        <f>SUM(K95:K127)</f>
        <v/>
      </c>
      <c r="L9" s="21">
        <f>SUM(L95:L127)</f>
        <v/>
      </c>
      <c r="M9" s="21">
        <f>SUM(M95:M127)</f>
        <v/>
      </c>
      <c r="N9" s="21">
        <f>SUM(N95:N127)</f>
        <v/>
      </c>
      <c r="O9" s="21">
        <f>SUM(O95:O127)</f>
        <v/>
      </c>
      <c r="P9" s="21">
        <f>SUM(P95:P127)</f>
        <v/>
      </c>
      <c r="Q9" s="21">
        <f>SUM(Q95:Q127)</f>
        <v/>
      </c>
      <c r="R9" s="21">
        <f>SUM(R95:R127)</f>
        <v/>
      </c>
      <c r="S9" s="21">
        <f>SUM(S95:S127)</f>
        <v/>
      </c>
      <c r="T9" s="21">
        <f>SUM(T95:T127)</f>
        <v/>
      </c>
      <c r="U9" s="21">
        <f>SUM(U95:U127)</f>
        <v/>
      </c>
      <c r="V9" s="21">
        <f>SUM(V95:V127)</f>
        <v/>
      </c>
      <c r="W9" s="21">
        <f>SUM(W95:W127)</f>
        <v/>
      </c>
      <c r="X9" s="21">
        <f>SUM(X95:X127)</f>
        <v/>
      </c>
      <c r="Y9" s="21">
        <f>SUM(Y95:Y127)</f>
        <v/>
      </c>
      <c r="Z9" s="21">
        <f>SUM(Z95:Z127)</f>
        <v/>
      </c>
      <c r="AA9" s="21">
        <f>SUM(AA95:AA127)</f>
        <v/>
      </c>
      <c r="AB9" s="21">
        <f>SUM(AB95:AB127)</f>
        <v/>
      </c>
      <c r="AC9" s="21">
        <f>SUM(AC95:AC127)</f>
        <v/>
      </c>
      <c r="AD9" s="21">
        <f>SUM(AD95:AD127)</f>
        <v/>
      </c>
      <c r="AE9" s="21">
        <f>SUM(AE95:AE127)</f>
        <v/>
      </c>
      <c r="AF9" s="21">
        <f>SUM(AF95:AF127)</f>
        <v/>
      </c>
      <c r="AG9" s="21">
        <f>SUM(AG95:AG127)</f>
        <v/>
      </c>
      <c r="AH9" s="21">
        <f>SUM(AH95:AH127)</f>
        <v/>
      </c>
      <c r="AI9" s="21">
        <f>SUM(AI95:AI127)</f>
        <v/>
      </c>
      <c r="AJ9" s="21">
        <f>SUM(AJ95:AJ127)</f>
        <v/>
      </c>
      <c r="AK9" s="21">
        <f>SUM(AK95:AK127)</f>
        <v/>
      </c>
      <c r="AL9" s="21">
        <f>SUM(AL95:AL127)</f>
        <v/>
      </c>
      <c r="AM9" s="21">
        <f>SUM(AM95:AM127)</f>
        <v/>
      </c>
      <c r="AN9" s="21">
        <f>SUM(AN95:AN127)</f>
        <v/>
      </c>
      <c r="AO9" s="21">
        <f>SUM(AO95:AO127)</f>
        <v/>
      </c>
      <c r="AP9" s="21">
        <f>SUM(AP95:AP127)</f>
        <v/>
      </c>
      <c r="AQ9" s="21">
        <f>SUM(AQ95:AQ127)</f>
        <v/>
      </c>
      <c r="AR9" s="21">
        <f>SUM(AR95:AR127)</f>
        <v/>
      </c>
      <c r="AS9" s="21">
        <f>SUM(AS95:AS127)</f>
        <v/>
      </c>
      <c r="AT9" s="21">
        <f>SUM(AT95:AT127)</f>
        <v/>
      </c>
      <c r="AU9" s="39">
        <f>SUM(AU95:AU127)</f>
        <v/>
      </c>
      <c r="AV9" s="39">
        <f>SUM(AV95:AV127)</f>
        <v/>
      </c>
      <c r="AW9" s="39">
        <f>SUM(AW95:AW127)</f>
        <v/>
      </c>
      <c r="AX9" s="39">
        <f>SUM(AX95:AX127)</f>
        <v/>
      </c>
      <c r="AY9" s="39">
        <f>SUM(AY95:AY127)</f>
        <v/>
      </c>
      <c r="AZ9" s="39">
        <f>SUM(AZ95:AZ127)</f>
        <v/>
      </c>
      <c r="BA9" s="39">
        <f>SUM(BA95:BA127)</f>
        <v/>
      </c>
      <c r="BB9" s="39">
        <f>SUM(BB95:BB127)</f>
        <v/>
      </c>
      <c r="BC9" s="39">
        <f>SUM(BC95:BC127)</f>
        <v/>
      </c>
      <c r="BD9" s="39">
        <f>SUM(BD95:BD127)</f>
        <v/>
      </c>
      <c r="BE9" s="39">
        <f>SUM(BE95:BE127)</f>
        <v/>
      </c>
      <c r="BF9" s="39">
        <f>SUM(BF95:BF127)</f>
        <v/>
      </c>
      <c r="BG9" s="39">
        <f>SUM(BG95:BG127)</f>
        <v/>
      </c>
      <c r="BH9" s="39">
        <f>SUM(BH95:BH127)</f>
        <v/>
      </c>
      <c r="BI9" s="39">
        <f>SUM(BI95:BI127)</f>
        <v/>
      </c>
      <c r="BJ9" s="39">
        <f>SUM(BJ95:BJ127)</f>
        <v/>
      </c>
      <c r="BK9" s="39">
        <f>SUM(BK95:BK127)</f>
        <v/>
      </c>
      <c r="BL9" s="39">
        <f>SUM(BL95:BL127)</f>
        <v/>
      </c>
      <c r="BM9" s="39">
        <f>SUM(BM95:BM127)</f>
        <v/>
      </c>
    </row>
    <row r="10" ht="14.5" customHeight="1">
      <c r="A10" s="45" t="inlineStr">
        <is>
          <t>SPRINT 1 · INCREMENTO 1 (29 tareas)</t>
        </is>
      </c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  <c r="O10" s="42" t="n"/>
      <c r="P10" s="42" t="n"/>
      <c r="Q10" s="42" t="n"/>
      <c r="R10" s="42" t="n"/>
      <c r="S10" s="42" t="n"/>
      <c r="T10" s="42" t="n"/>
      <c r="U10" s="42" t="n"/>
      <c r="V10" s="42" t="n"/>
      <c r="W10" s="42" t="n"/>
      <c r="X10" s="42" t="n"/>
      <c r="Y10" s="42" t="n"/>
      <c r="Z10" s="42" t="n"/>
      <c r="AA10" s="42" t="n"/>
      <c r="AB10" s="42" t="n"/>
      <c r="AC10" s="42" t="n"/>
      <c r="AD10" s="42" t="n"/>
      <c r="AE10" s="42" t="n"/>
      <c r="AF10" s="42" t="n"/>
      <c r="AG10" s="42" t="n"/>
      <c r="AH10" s="42" t="n"/>
      <c r="AI10" s="42" t="n"/>
      <c r="AJ10" s="42" t="n"/>
      <c r="AK10" s="42" t="n"/>
      <c r="AL10" s="42" t="n"/>
      <c r="AM10" s="42" t="n"/>
      <c r="AN10" s="42" t="n"/>
      <c r="AO10" s="42" t="n"/>
      <c r="AP10" s="42" t="n"/>
      <c r="AQ10" s="42" t="n"/>
      <c r="AR10" s="42" t="n"/>
      <c r="AS10" s="42" t="n"/>
      <c r="AT10" s="42" t="n"/>
      <c r="AU10" s="42" t="n"/>
      <c r="AV10" s="42" t="n"/>
      <c r="AW10" s="42" t="n"/>
      <c r="AX10" s="42" t="n"/>
      <c r="AY10" s="42" t="n"/>
      <c r="AZ10" s="42" t="n"/>
      <c r="BA10" s="42" t="n"/>
      <c r="BB10" s="42" t="n"/>
      <c r="BC10" s="42" t="n"/>
      <c r="BD10" s="42" t="n"/>
      <c r="BE10" s="42" t="n"/>
      <c r="BF10" s="42" t="n"/>
      <c r="BG10" s="42" t="n"/>
      <c r="BH10" s="42" t="n"/>
      <c r="BI10" s="42" t="n"/>
      <c r="BJ10" s="42" t="n"/>
      <c r="BK10" s="42" t="n"/>
      <c r="BL10" s="42" t="n"/>
      <c r="BM10" s="42" t="n"/>
    </row>
    <row r="11" ht="14.5" customHeight="1">
      <c r="A11" s="23" t="inlineStr">
        <is>
          <t>TA 1.1 – Levantando los requerimientos con la contraparte de Constructora M5</t>
        </is>
      </c>
      <c r="B11" s="24" t="inlineStr">
        <is>
          <t>Alexander Hanke</t>
        </is>
      </c>
      <c r="C11" s="25" t="inlineStr">
        <is>
          <t>Incremento 1</t>
        </is>
      </c>
      <c r="D11" s="26">
        <f>Planificación!H7</f>
        <v/>
      </c>
      <c r="E11" s="26" t="n">
        <v>3</v>
      </c>
      <c r="F11" s="26" t="n">
        <v>0</v>
      </c>
      <c r="G11" s="26" t="n">
        <v>0</v>
      </c>
      <c r="H11" s="26" t="n">
        <v>0</v>
      </c>
      <c r="I11" s="26" t="n">
        <v>0</v>
      </c>
      <c r="J11" s="26" t="n">
        <v>0</v>
      </c>
      <c r="K11" s="26" t="n">
        <v>0</v>
      </c>
      <c r="L11" s="26" t="n">
        <v>0</v>
      </c>
      <c r="M11" s="26" t="n">
        <v>0</v>
      </c>
      <c r="N11" s="26" t="n">
        <v>0</v>
      </c>
      <c r="O11" s="26" t="n">
        <v>0</v>
      </c>
      <c r="P11" s="26" t="n">
        <v>0</v>
      </c>
      <c r="Q11" s="26" t="n">
        <v>0</v>
      </c>
      <c r="R11" s="26" t="n">
        <v>0</v>
      </c>
      <c r="S11" s="26" t="n">
        <v>0</v>
      </c>
      <c r="T11" s="26" t="n">
        <v>0</v>
      </c>
      <c r="U11" s="26" t="n">
        <v>0</v>
      </c>
      <c r="V11" s="26" t="n">
        <v>0</v>
      </c>
      <c r="W11" s="26" t="n">
        <v>0</v>
      </c>
      <c r="X11" s="26" t="n">
        <v>0</v>
      </c>
      <c r="Y11" s="26" t="n">
        <v>0</v>
      </c>
      <c r="Z11" s="26" t="n">
        <v>0</v>
      </c>
      <c r="AA11" s="26" t="n">
        <v>0</v>
      </c>
      <c r="AB11" s="26" t="n">
        <v>0</v>
      </c>
      <c r="AC11" s="26" t="n">
        <v>0</v>
      </c>
      <c r="AD11" s="26" t="n">
        <v>0</v>
      </c>
      <c r="AE11" s="26" t="n">
        <v>0</v>
      </c>
      <c r="AF11" s="26" t="n">
        <v>0</v>
      </c>
      <c r="AG11" s="26" t="n">
        <v>0</v>
      </c>
      <c r="AH11" s="26" t="n">
        <v>0</v>
      </c>
      <c r="AI11" s="26" t="n">
        <v>0</v>
      </c>
      <c r="AJ11" s="26" t="n">
        <v>0</v>
      </c>
      <c r="AK11" s="26" t="n">
        <v>0</v>
      </c>
      <c r="AL11" s="26" t="n">
        <v>0</v>
      </c>
      <c r="AM11" s="26" t="n">
        <v>0</v>
      </c>
      <c r="AN11" s="26" t="n">
        <v>0</v>
      </c>
      <c r="AO11" s="26" t="n">
        <v>0</v>
      </c>
      <c r="AP11" s="26" t="n">
        <v>0</v>
      </c>
      <c r="AQ11" s="26" t="n">
        <v>0</v>
      </c>
      <c r="AR11" s="26" t="n">
        <v>0</v>
      </c>
      <c r="AS11" s="26" t="n">
        <v>0</v>
      </c>
      <c r="AT11" s="26" t="n">
        <v>0</v>
      </c>
    </row>
    <row r="12" ht="14.5" customHeight="1">
      <c r="A12" s="23" t="inlineStr">
        <is>
          <t>TA 1.2 – Redactando el Documento 0 con los requerimientos y los casos de uso</t>
        </is>
      </c>
      <c r="B12" s="24" t="inlineStr">
        <is>
          <t>Roberto Seguel</t>
        </is>
      </c>
      <c r="C12" s="25" t="inlineStr">
        <is>
          <t>Incremento 1</t>
        </is>
      </c>
      <c r="D12" s="26">
        <f>Planificación!H8</f>
        <v/>
      </c>
      <c r="E12" s="26" t="n">
        <v>8</v>
      </c>
      <c r="F12" s="26" t="n">
        <v>5</v>
      </c>
      <c r="G12" s="26" t="n">
        <v>2</v>
      </c>
      <c r="H12" s="26" t="n">
        <v>0</v>
      </c>
      <c r="I12" s="26" t="n">
        <v>0</v>
      </c>
      <c r="J12" s="26" t="n">
        <v>0</v>
      </c>
      <c r="K12" s="26" t="n">
        <v>0</v>
      </c>
      <c r="L12" s="26" t="n">
        <v>0</v>
      </c>
      <c r="M12" s="26" t="n">
        <v>0</v>
      </c>
      <c r="N12" s="26" t="n">
        <v>0</v>
      </c>
      <c r="O12" s="26" t="n">
        <v>0</v>
      </c>
      <c r="P12" s="26" t="n">
        <v>0</v>
      </c>
      <c r="Q12" s="26" t="n">
        <v>0</v>
      </c>
      <c r="R12" s="26" t="n">
        <v>0</v>
      </c>
      <c r="S12" s="26" t="n">
        <v>0</v>
      </c>
      <c r="T12" s="26" t="n">
        <v>0</v>
      </c>
      <c r="U12" s="26" t="n">
        <v>0</v>
      </c>
      <c r="V12" s="26" t="n">
        <v>0</v>
      </c>
      <c r="W12" s="26" t="n">
        <v>0</v>
      </c>
      <c r="X12" s="26" t="n">
        <v>0</v>
      </c>
      <c r="Y12" s="26" t="n">
        <v>0</v>
      </c>
      <c r="Z12" s="26" t="n">
        <v>0</v>
      </c>
      <c r="AA12" s="26" t="n">
        <v>0</v>
      </c>
      <c r="AB12" s="26" t="n">
        <v>0</v>
      </c>
      <c r="AC12" s="26" t="n">
        <v>0</v>
      </c>
      <c r="AD12" s="26" t="n">
        <v>0</v>
      </c>
      <c r="AE12" s="26" t="n">
        <v>0</v>
      </c>
      <c r="AF12" s="26" t="n">
        <v>0</v>
      </c>
      <c r="AG12" s="26" t="n">
        <v>0</v>
      </c>
      <c r="AH12" s="26" t="n">
        <v>0</v>
      </c>
      <c r="AI12" s="26" t="n">
        <v>0</v>
      </c>
      <c r="AJ12" s="26" t="n">
        <v>0</v>
      </c>
      <c r="AK12" s="26" t="n">
        <v>0</v>
      </c>
      <c r="AL12" s="26" t="n">
        <v>0</v>
      </c>
      <c r="AM12" s="26" t="n">
        <v>0</v>
      </c>
      <c r="AN12" s="26" t="n">
        <v>0</v>
      </c>
      <c r="AO12" s="26" t="n">
        <v>0</v>
      </c>
      <c r="AP12" s="26" t="n">
        <v>0</v>
      </c>
      <c r="AQ12" s="26" t="n">
        <v>0</v>
      </c>
      <c r="AR12" s="26" t="n">
        <v>0</v>
      </c>
      <c r="AS12" s="26" t="n">
        <v>0</v>
      </c>
      <c r="AT12" s="26" t="n">
        <v>0</v>
      </c>
    </row>
    <row r="13" ht="14.5" customHeight="1">
      <c r="A13" s="23" t="inlineStr">
        <is>
          <t>TA 1.3 – Construyendo la matriz de trazabilidad entre RF, CU y UR</t>
        </is>
      </c>
      <c r="B13" s="24" t="inlineStr">
        <is>
          <t>Roberto Seguel</t>
        </is>
      </c>
      <c r="C13" s="25" t="inlineStr">
        <is>
          <t>Incremento 1</t>
        </is>
      </c>
      <c r="D13" s="26">
        <f>Planificación!H9</f>
        <v/>
      </c>
      <c r="E13" s="26" t="n">
        <v>6</v>
      </c>
      <c r="F13" s="26" t="n">
        <v>6</v>
      </c>
      <c r="G13" s="26" t="n">
        <v>4</v>
      </c>
      <c r="H13" s="26" t="n">
        <v>2</v>
      </c>
      <c r="I13" s="26" t="n">
        <v>0</v>
      </c>
      <c r="J13" s="26" t="n">
        <v>0</v>
      </c>
      <c r="K13" s="26" t="n">
        <v>0</v>
      </c>
      <c r="L13" s="26" t="n">
        <v>0</v>
      </c>
      <c r="M13" s="26" t="n">
        <v>0</v>
      </c>
      <c r="N13" s="26" t="n">
        <v>0</v>
      </c>
      <c r="O13" s="26" t="n">
        <v>0</v>
      </c>
      <c r="P13" s="26" t="n">
        <v>0</v>
      </c>
      <c r="Q13" s="26" t="n">
        <v>0</v>
      </c>
      <c r="R13" s="26" t="n">
        <v>0</v>
      </c>
      <c r="S13" s="26" t="n">
        <v>0</v>
      </c>
      <c r="T13" s="26" t="n">
        <v>0</v>
      </c>
      <c r="U13" s="26" t="n">
        <v>0</v>
      </c>
      <c r="V13" s="26" t="n">
        <v>0</v>
      </c>
      <c r="W13" s="26" t="n">
        <v>0</v>
      </c>
      <c r="X13" s="26" t="n">
        <v>0</v>
      </c>
      <c r="Y13" s="26" t="n">
        <v>0</v>
      </c>
      <c r="Z13" s="26" t="n">
        <v>0</v>
      </c>
      <c r="AA13" s="26" t="n">
        <v>0</v>
      </c>
      <c r="AB13" s="26" t="n">
        <v>0</v>
      </c>
      <c r="AC13" s="26" t="n">
        <v>0</v>
      </c>
      <c r="AD13" s="26" t="n">
        <v>0</v>
      </c>
      <c r="AE13" s="26" t="n">
        <v>0</v>
      </c>
      <c r="AF13" s="26" t="n">
        <v>0</v>
      </c>
      <c r="AG13" s="26" t="n">
        <v>0</v>
      </c>
      <c r="AH13" s="26" t="n">
        <v>0</v>
      </c>
      <c r="AI13" s="26" t="n">
        <v>0</v>
      </c>
      <c r="AJ13" s="26" t="n">
        <v>0</v>
      </c>
      <c r="AK13" s="26" t="n">
        <v>0</v>
      </c>
      <c r="AL13" s="26" t="n">
        <v>0</v>
      </c>
      <c r="AM13" s="26" t="n">
        <v>0</v>
      </c>
      <c r="AN13" s="26" t="n">
        <v>0</v>
      </c>
      <c r="AO13" s="26" t="n">
        <v>0</v>
      </c>
      <c r="AP13" s="26" t="n">
        <v>0</v>
      </c>
      <c r="AQ13" s="26" t="n">
        <v>0</v>
      </c>
      <c r="AR13" s="26" t="n">
        <v>0</v>
      </c>
      <c r="AS13" s="26" t="n">
        <v>0</v>
      </c>
      <c r="AT13" s="26" t="n">
        <v>0</v>
      </c>
    </row>
    <row r="14" ht="14.5" customHeight="1">
      <c r="A14" s="23" t="inlineStr">
        <is>
          <t>TA 1.4 – Definiendo la distribución de los cuatro incrementos del proyecto</t>
        </is>
      </c>
      <c r="B14" s="24" t="inlineStr">
        <is>
          <t>Alexander Hanke</t>
        </is>
      </c>
      <c r="C14" s="25" t="inlineStr">
        <is>
          <t>Incremento 1</t>
        </is>
      </c>
      <c r="D14" s="26">
        <f>Planificación!H10</f>
        <v/>
      </c>
      <c r="E14" s="26" t="n">
        <v>4</v>
      </c>
      <c r="F14" s="26" t="n">
        <v>2</v>
      </c>
      <c r="G14" s="26" t="n">
        <v>0</v>
      </c>
      <c r="H14" s="26" t="n">
        <v>0</v>
      </c>
      <c r="I14" s="26" t="n">
        <v>0</v>
      </c>
      <c r="J14" s="26" t="n">
        <v>0</v>
      </c>
      <c r="K14" s="26" t="n">
        <v>0</v>
      </c>
      <c r="L14" s="26" t="n">
        <v>0</v>
      </c>
      <c r="M14" s="26" t="n">
        <v>0</v>
      </c>
      <c r="N14" s="26" t="n">
        <v>0</v>
      </c>
      <c r="O14" s="26" t="n">
        <v>0</v>
      </c>
      <c r="P14" s="26" t="n">
        <v>0</v>
      </c>
      <c r="Q14" s="26" t="n">
        <v>0</v>
      </c>
      <c r="R14" s="26" t="n">
        <v>0</v>
      </c>
      <c r="S14" s="26" t="n">
        <v>0</v>
      </c>
      <c r="T14" s="26" t="n">
        <v>0</v>
      </c>
      <c r="U14" s="26" t="n">
        <v>0</v>
      </c>
      <c r="V14" s="26" t="n">
        <v>0</v>
      </c>
      <c r="W14" s="26" t="n">
        <v>0</v>
      </c>
      <c r="X14" s="26" t="n">
        <v>0</v>
      </c>
      <c r="Y14" s="26" t="n">
        <v>0</v>
      </c>
      <c r="Z14" s="26" t="n">
        <v>0</v>
      </c>
      <c r="AA14" s="26" t="n">
        <v>0</v>
      </c>
      <c r="AB14" s="26" t="n">
        <v>0</v>
      </c>
      <c r="AC14" s="26" t="n">
        <v>0</v>
      </c>
      <c r="AD14" s="26" t="n">
        <v>0</v>
      </c>
      <c r="AE14" s="26" t="n">
        <v>0</v>
      </c>
      <c r="AF14" s="26" t="n">
        <v>0</v>
      </c>
      <c r="AG14" s="26" t="n">
        <v>0</v>
      </c>
      <c r="AH14" s="26" t="n">
        <v>0</v>
      </c>
      <c r="AI14" s="26" t="n">
        <v>0</v>
      </c>
      <c r="AJ14" s="26" t="n">
        <v>0</v>
      </c>
      <c r="AK14" s="26" t="n">
        <v>0</v>
      </c>
      <c r="AL14" s="26" t="n">
        <v>0</v>
      </c>
      <c r="AM14" s="26" t="n">
        <v>0</v>
      </c>
      <c r="AN14" s="26" t="n">
        <v>0</v>
      </c>
      <c r="AO14" s="26" t="n">
        <v>0</v>
      </c>
      <c r="AP14" s="26" t="n">
        <v>0</v>
      </c>
      <c r="AQ14" s="26" t="n">
        <v>0</v>
      </c>
      <c r="AR14" s="26" t="n">
        <v>0</v>
      </c>
      <c r="AS14" s="26" t="n">
        <v>0</v>
      </c>
      <c r="AT14" s="26" t="n">
        <v>0</v>
      </c>
    </row>
    <row r="15" ht="14.5" customHeight="1">
      <c r="A15" s="23" t="inlineStr">
        <is>
          <t>TA 2.1 – Creando el proyecto Django y la estructura de aplicaciones</t>
        </is>
      </c>
      <c r="B15" s="24" t="inlineStr">
        <is>
          <t>Alexander Hanke</t>
        </is>
      </c>
      <c r="C15" s="25" t="inlineStr">
        <is>
          <t>Incremento 1</t>
        </is>
      </c>
      <c r="D15" s="26">
        <f>Planificación!H12</f>
        <v/>
      </c>
      <c r="E15" s="26" t="n">
        <v>6</v>
      </c>
      <c r="F15" s="26" t="n">
        <v>6</v>
      </c>
      <c r="G15" s="26" t="n">
        <v>4</v>
      </c>
      <c r="H15" s="26" t="n">
        <v>2</v>
      </c>
      <c r="I15" s="26" t="n">
        <v>0</v>
      </c>
      <c r="J15" s="26" t="n">
        <v>0</v>
      </c>
      <c r="K15" s="26" t="n">
        <v>0</v>
      </c>
      <c r="L15" s="26" t="n">
        <v>0</v>
      </c>
      <c r="M15" s="26" t="n">
        <v>0</v>
      </c>
      <c r="N15" s="26" t="n">
        <v>0</v>
      </c>
      <c r="O15" s="26" t="n">
        <v>0</v>
      </c>
      <c r="P15" s="26" t="n">
        <v>0</v>
      </c>
      <c r="Q15" s="26" t="n">
        <v>0</v>
      </c>
      <c r="R15" s="26" t="n">
        <v>0</v>
      </c>
      <c r="S15" s="26" t="n">
        <v>0</v>
      </c>
      <c r="T15" s="26" t="n">
        <v>0</v>
      </c>
      <c r="U15" s="26" t="n">
        <v>0</v>
      </c>
      <c r="V15" s="26" t="n">
        <v>0</v>
      </c>
      <c r="W15" s="26" t="n">
        <v>0</v>
      </c>
      <c r="X15" s="26" t="n">
        <v>0</v>
      </c>
      <c r="Y15" s="26" t="n">
        <v>0</v>
      </c>
      <c r="Z15" s="26" t="n">
        <v>0</v>
      </c>
      <c r="AA15" s="26" t="n">
        <v>0</v>
      </c>
      <c r="AB15" s="26" t="n">
        <v>0</v>
      </c>
      <c r="AC15" s="26" t="n">
        <v>0</v>
      </c>
      <c r="AD15" s="26" t="n">
        <v>0</v>
      </c>
      <c r="AE15" s="26" t="n">
        <v>0</v>
      </c>
      <c r="AF15" s="26" t="n">
        <v>0</v>
      </c>
      <c r="AG15" s="26" t="n">
        <v>0</v>
      </c>
      <c r="AH15" s="26" t="n">
        <v>0</v>
      </c>
      <c r="AI15" s="26" t="n">
        <v>0</v>
      </c>
      <c r="AJ15" s="26" t="n">
        <v>0</v>
      </c>
      <c r="AK15" s="26" t="n">
        <v>0</v>
      </c>
      <c r="AL15" s="26" t="n">
        <v>0</v>
      </c>
      <c r="AM15" s="26" t="n">
        <v>0</v>
      </c>
      <c r="AN15" s="26" t="n">
        <v>0</v>
      </c>
      <c r="AO15" s="26" t="n">
        <v>0</v>
      </c>
      <c r="AP15" s="26" t="n">
        <v>0</v>
      </c>
      <c r="AQ15" s="26" t="n">
        <v>0</v>
      </c>
      <c r="AR15" s="26" t="n">
        <v>0</v>
      </c>
      <c r="AS15" s="26" t="n">
        <v>0</v>
      </c>
      <c r="AT15" s="26" t="n">
        <v>0</v>
      </c>
    </row>
    <row r="16" ht="14.5" customHeight="1">
      <c r="A16" s="23" t="inlineStr">
        <is>
          <t>TA 2.2 – Instalando y configurando PostgreSQL en el equipo de desarrollo</t>
        </is>
      </c>
      <c r="B16" s="24" t="inlineStr">
        <is>
          <t>Josué Barrera</t>
        </is>
      </c>
      <c r="C16" s="25" t="inlineStr">
        <is>
          <t>Incremento 1</t>
        </is>
      </c>
      <c r="D16" s="26">
        <f>Planificación!H13</f>
        <v/>
      </c>
      <c r="E16" s="26" t="n">
        <v>4</v>
      </c>
      <c r="F16" s="26" t="n">
        <v>4</v>
      </c>
      <c r="G16" s="26" t="n">
        <v>2</v>
      </c>
      <c r="H16" s="26" t="n">
        <v>0</v>
      </c>
      <c r="I16" s="26" t="n">
        <v>0</v>
      </c>
      <c r="J16" s="26" t="n">
        <v>0</v>
      </c>
      <c r="K16" s="26" t="n">
        <v>0</v>
      </c>
      <c r="L16" s="26" t="n">
        <v>0</v>
      </c>
      <c r="M16" s="26" t="n">
        <v>0</v>
      </c>
      <c r="N16" s="26" t="n">
        <v>0</v>
      </c>
      <c r="O16" s="26" t="n">
        <v>0</v>
      </c>
      <c r="P16" s="26" t="n">
        <v>0</v>
      </c>
      <c r="Q16" s="26" t="n">
        <v>0</v>
      </c>
      <c r="R16" s="26" t="n">
        <v>0</v>
      </c>
      <c r="S16" s="26" t="n">
        <v>0</v>
      </c>
      <c r="T16" s="26" t="n">
        <v>0</v>
      </c>
      <c r="U16" s="26" t="n">
        <v>0</v>
      </c>
      <c r="V16" s="26" t="n">
        <v>0</v>
      </c>
      <c r="W16" s="26" t="n">
        <v>0</v>
      </c>
      <c r="X16" s="26" t="n">
        <v>0</v>
      </c>
      <c r="Y16" s="26" t="n">
        <v>0</v>
      </c>
      <c r="Z16" s="26" t="n">
        <v>0</v>
      </c>
      <c r="AA16" s="26" t="n">
        <v>0</v>
      </c>
      <c r="AB16" s="26" t="n">
        <v>0</v>
      </c>
      <c r="AC16" s="26" t="n">
        <v>0</v>
      </c>
      <c r="AD16" s="26" t="n">
        <v>0</v>
      </c>
      <c r="AE16" s="26" t="n">
        <v>0</v>
      </c>
      <c r="AF16" s="26" t="n">
        <v>0</v>
      </c>
      <c r="AG16" s="26" t="n">
        <v>0</v>
      </c>
      <c r="AH16" s="26" t="n">
        <v>0</v>
      </c>
      <c r="AI16" s="26" t="n">
        <v>0</v>
      </c>
      <c r="AJ16" s="26" t="n">
        <v>0</v>
      </c>
      <c r="AK16" s="26" t="n">
        <v>0</v>
      </c>
      <c r="AL16" s="26" t="n">
        <v>0</v>
      </c>
      <c r="AM16" s="26" t="n">
        <v>0</v>
      </c>
      <c r="AN16" s="26" t="n">
        <v>0</v>
      </c>
      <c r="AO16" s="26" t="n">
        <v>0</v>
      </c>
      <c r="AP16" s="26" t="n">
        <v>0</v>
      </c>
      <c r="AQ16" s="26" t="n">
        <v>0</v>
      </c>
      <c r="AR16" s="26" t="n">
        <v>0</v>
      </c>
      <c r="AS16" s="26" t="n">
        <v>0</v>
      </c>
      <c r="AT16" s="26" t="n">
        <v>0</v>
      </c>
    </row>
    <row r="17" ht="14.5" customHeight="1">
      <c r="A17" s="23" t="inlineStr">
        <is>
          <t>TA 2.3 – Definiendo el patrón MVC++ y la convención de nombres de vistas y controladores</t>
        </is>
      </c>
      <c r="B17" s="24" t="inlineStr">
        <is>
          <t>Alexander Hanke</t>
        </is>
      </c>
      <c r="C17" s="25" t="inlineStr">
        <is>
          <t>Incremento 1</t>
        </is>
      </c>
      <c r="D17" s="26">
        <f>Planificación!H14</f>
        <v/>
      </c>
      <c r="E17" s="26" t="n">
        <v>4</v>
      </c>
      <c r="F17" s="26" t="n">
        <v>4</v>
      </c>
      <c r="G17" s="26" t="n">
        <v>4</v>
      </c>
      <c r="H17" s="26" t="n">
        <v>2</v>
      </c>
      <c r="I17" s="26" t="n">
        <v>0</v>
      </c>
      <c r="J17" s="26" t="n">
        <v>0</v>
      </c>
      <c r="K17" s="26" t="n">
        <v>0</v>
      </c>
      <c r="L17" s="26" t="n">
        <v>0</v>
      </c>
      <c r="M17" s="26" t="n">
        <v>0</v>
      </c>
      <c r="N17" s="26" t="n">
        <v>0</v>
      </c>
      <c r="O17" s="26" t="n">
        <v>0</v>
      </c>
      <c r="P17" s="26" t="n">
        <v>0</v>
      </c>
      <c r="Q17" s="26" t="n">
        <v>0</v>
      </c>
      <c r="R17" s="26" t="n">
        <v>0</v>
      </c>
      <c r="S17" s="26" t="n">
        <v>0</v>
      </c>
      <c r="T17" s="26" t="n">
        <v>0</v>
      </c>
      <c r="U17" s="26" t="n">
        <v>0</v>
      </c>
      <c r="V17" s="26" t="n">
        <v>0</v>
      </c>
      <c r="W17" s="26" t="n">
        <v>0</v>
      </c>
      <c r="X17" s="26" t="n">
        <v>0</v>
      </c>
      <c r="Y17" s="26" t="n">
        <v>0</v>
      </c>
      <c r="Z17" s="26" t="n">
        <v>0</v>
      </c>
      <c r="AA17" s="26" t="n">
        <v>0</v>
      </c>
      <c r="AB17" s="26" t="n">
        <v>0</v>
      </c>
      <c r="AC17" s="26" t="n">
        <v>0</v>
      </c>
      <c r="AD17" s="26" t="n">
        <v>0</v>
      </c>
      <c r="AE17" s="26" t="n">
        <v>0</v>
      </c>
      <c r="AF17" s="26" t="n">
        <v>0</v>
      </c>
      <c r="AG17" s="26" t="n">
        <v>0</v>
      </c>
      <c r="AH17" s="26" t="n">
        <v>0</v>
      </c>
      <c r="AI17" s="26" t="n">
        <v>0</v>
      </c>
      <c r="AJ17" s="26" t="n">
        <v>0</v>
      </c>
      <c r="AK17" s="26" t="n">
        <v>0</v>
      </c>
      <c r="AL17" s="26" t="n">
        <v>0</v>
      </c>
      <c r="AM17" s="26" t="n">
        <v>0</v>
      </c>
      <c r="AN17" s="26" t="n">
        <v>0</v>
      </c>
      <c r="AO17" s="26" t="n">
        <v>0</v>
      </c>
      <c r="AP17" s="26" t="n">
        <v>0</v>
      </c>
      <c r="AQ17" s="26" t="n">
        <v>0</v>
      </c>
      <c r="AR17" s="26" t="n">
        <v>0</v>
      </c>
      <c r="AS17" s="26" t="n">
        <v>0</v>
      </c>
      <c r="AT17" s="26" t="n">
        <v>0</v>
      </c>
    </row>
    <row r="18" ht="14.5" customHeight="1">
      <c r="A18" s="23" t="inlineStr">
        <is>
          <t>TA 2.4 – Integrando Bootstrap 5 y la plantilla base del sistema</t>
        </is>
      </c>
      <c r="B18" s="24" t="inlineStr">
        <is>
          <t>Josué Barrera</t>
        </is>
      </c>
      <c r="C18" s="25" t="inlineStr">
        <is>
          <t>Incremento 1</t>
        </is>
      </c>
      <c r="D18" s="26">
        <f>Planificación!H15</f>
        <v/>
      </c>
      <c r="E18" s="26" t="n">
        <v>6</v>
      </c>
      <c r="F18" s="26" t="n">
        <v>6</v>
      </c>
      <c r="G18" s="26" t="n">
        <v>6</v>
      </c>
      <c r="H18" s="26" t="n">
        <v>4</v>
      </c>
      <c r="I18" s="26" t="n">
        <v>2</v>
      </c>
      <c r="J18" s="26" t="n">
        <v>0</v>
      </c>
      <c r="K18" s="26" t="n">
        <v>0</v>
      </c>
      <c r="L18" s="26" t="n">
        <v>0</v>
      </c>
      <c r="M18" s="26" t="n">
        <v>0</v>
      </c>
      <c r="N18" s="26" t="n">
        <v>0</v>
      </c>
      <c r="O18" s="26" t="n">
        <v>0</v>
      </c>
      <c r="P18" s="26" t="n">
        <v>0</v>
      </c>
      <c r="Q18" s="26" t="n">
        <v>0</v>
      </c>
      <c r="R18" s="26" t="n">
        <v>0</v>
      </c>
      <c r="S18" s="26" t="n">
        <v>0</v>
      </c>
      <c r="T18" s="26" t="n">
        <v>0</v>
      </c>
      <c r="U18" s="26" t="n">
        <v>0</v>
      </c>
      <c r="V18" s="26" t="n">
        <v>0</v>
      </c>
      <c r="W18" s="26" t="n">
        <v>0</v>
      </c>
      <c r="X18" s="26" t="n">
        <v>0</v>
      </c>
      <c r="Y18" s="26" t="n">
        <v>0</v>
      </c>
      <c r="Z18" s="26" t="n">
        <v>0</v>
      </c>
      <c r="AA18" s="26" t="n">
        <v>0</v>
      </c>
      <c r="AB18" s="26" t="n">
        <v>0</v>
      </c>
      <c r="AC18" s="26" t="n">
        <v>0</v>
      </c>
      <c r="AD18" s="26" t="n">
        <v>0</v>
      </c>
      <c r="AE18" s="26" t="n">
        <v>0</v>
      </c>
      <c r="AF18" s="26" t="n">
        <v>0</v>
      </c>
      <c r="AG18" s="26" t="n">
        <v>0</v>
      </c>
      <c r="AH18" s="26" t="n">
        <v>0</v>
      </c>
      <c r="AI18" s="26" t="n">
        <v>0</v>
      </c>
      <c r="AJ18" s="26" t="n">
        <v>0</v>
      </c>
      <c r="AK18" s="26" t="n">
        <v>0</v>
      </c>
      <c r="AL18" s="26" t="n">
        <v>0</v>
      </c>
      <c r="AM18" s="26" t="n">
        <v>0</v>
      </c>
      <c r="AN18" s="26" t="n">
        <v>0</v>
      </c>
      <c r="AO18" s="26" t="n">
        <v>0</v>
      </c>
      <c r="AP18" s="26" t="n">
        <v>0</v>
      </c>
      <c r="AQ18" s="26" t="n">
        <v>0</v>
      </c>
      <c r="AR18" s="26" t="n">
        <v>0</v>
      </c>
      <c r="AS18" s="26" t="n">
        <v>0</v>
      </c>
      <c r="AT18" s="26" t="n">
        <v>0</v>
      </c>
    </row>
    <row r="19" ht="14.5" customHeight="1">
      <c r="A19" s="23" t="inlineStr">
        <is>
          <t>TA 3.1 – Implementando el modelo de usuarios con roles del sistema</t>
        </is>
      </c>
      <c r="B19" s="24" t="inlineStr">
        <is>
          <t>Alexander Hanke</t>
        </is>
      </c>
      <c r="C19" s="25" t="inlineStr">
        <is>
          <t>Incremento 1</t>
        </is>
      </c>
      <c r="D19" s="26">
        <f>Planificación!H17</f>
        <v/>
      </c>
      <c r="E19" s="26" t="n">
        <v>6</v>
      </c>
      <c r="F19" s="26" t="n">
        <v>6</v>
      </c>
      <c r="G19" s="26" t="n">
        <v>6</v>
      </c>
      <c r="H19" s="26" t="n">
        <v>6</v>
      </c>
      <c r="I19" s="26" t="n">
        <v>4</v>
      </c>
      <c r="J19" s="26" t="n">
        <v>2</v>
      </c>
      <c r="K19" s="26" t="n">
        <v>0</v>
      </c>
      <c r="L19" s="26" t="n">
        <v>0</v>
      </c>
      <c r="M19" s="26" t="n">
        <v>0</v>
      </c>
      <c r="N19" s="26" t="n">
        <v>0</v>
      </c>
      <c r="O19" s="26" t="n">
        <v>0</v>
      </c>
      <c r="P19" s="26" t="n">
        <v>0</v>
      </c>
      <c r="Q19" s="26" t="n">
        <v>0</v>
      </c>
      <c r="R19" s="26" t="n">
        <v>0</v>
      </c>
      <c r="S19" s="26" t="n">
        <v>0</v>
      </c>
      <c r="T19" s="26" t="n">
        <v>0</v>
      </c>
      <c r="U19" s="26" t="n">
        <v>0</v>
      </c>
      <c r="V19" s="26" t="n">
        <v>0</v>
      </c>
      <c r="W19" s="26" t="n">
        <v>0</v>
      </c>
      <c r="X19" s="26" t="n">
        <v>0</v>
      </c>
      <c r="Y19" s="26" t="n">
        <v>0</v>
      </c>
      <c r="Z19" s="26" t="n">
        <v>0</v>
      </c>
      <c r="AA19" s="26" t="n">
        <v>0</v>
      </c>
      <c r="AB19" s="26" t="n">
        <v>0</v>
      </c>
      <c r="AC19" s="26" t="n">
        <v>0</v>
      </c>
      <c r="AD19" s="26" t="n">
        <v>0</v>
      </c>
      <c r="AE19" s="26" t="n">
        <v>0</v>
      </c>
      <c r="AF19" s="26" t="n">
        <v>0</v>
      </c>
      <c r="AG19" s="26" t="n">
        <v>0</v>
      </c>
      <c r="AH19" s="26" t="n">
        <v>0</v>
      </c>
      <c r="AI19" s="26" t="n">
        <v>0</v>
      </c>
      <c r="AJ19" s="26" t="n">
        <v>0</v>
      </c>
      <c r="AK19" s="26" t="n">
        <v>0</v>
      </c>
      <c r="AL19" s="26" t="n">
        <v>0</v>
      </c>
      <c r="AM19" s="26" t="n">
        <v>0</v>
      </c>
      <c r="AN19" s="26" t="n">
        <v>0</v>
      </c>
      <c r="AO19" s="26" t="n">
        <v>0</v>
      </c>
      <c r="AP19" s="26" t="n">
        <v>0</v>
      </c>
      <c r="AQ19" s="26" t="n">
        <v>0</v>
      </c>
      <c r="AR19" s="26" t="n">
        <v>0</v>
      </c>
      <c r="AS19" s="26" t="n">
        <v>0</v>
      </c>
      <c r="AT19" s="26" t="n">
        <v>0</v>
      </c>
    </row>
    <row r="20" ht="14.5" customHeight="1">
      <c r="A20" s="23" t="inlineStr">
        <is>
          <t>TA 3.2 – Implementando el inicio y el cierre de sesión</t>
        </is>
      </c>
      <c r="B20" s="24" t="inlineStr">
        <is>
          <t>Josué Barrera</t>
        </is>
      </c>
      <c r="C20" s="25" t="inlineStr">
        <is>
          <t>Incremento 1</t>
        </is>
      </c>
      <c r="D20" s="26">
        <f>Planificación!H18</f>
        <v/>
      </c>
      <c r="E20" s="26" t="n">
        <v>6</v>
      </c>
      <c r="F20" s="26" t="n">
        <v>6</v>
      </c>
      <c r="G20" s="26" t="n">
        <v>6</v>
      </c>
      <c r="H20" s="26" t="n">
        <v>6</v>
      </c>
      <c r="I20" s="26" t="n">
        <v>6</v>
      </c>
      <c r="J20" s="26" t="n">
        <v>4</v>
      </c>
      <c r="K20" s="26" t="n">
        <v>2</v>
      </c>
      <c r="L20" s="26" t="n">
        <v>0</v>
      </c>
      <c r="M20" s="26" t="n">
        <v>0</v>
      </c>
      <c r="N20" s="26" t="n">
        <v>0</v>
      </c>
      <c r="O20" s="26" t="n">
        <v>0</v>
      </c>
      <c r="P20" s="26" t="n">
        <v>0</v>
      </c>
      <c r="Q20" s="26" t="n">
        <v>0</v>
      </c>
      <c r="R20" s="26" t="n">
        <v>0</v>
      </c>
      <c r="S20" s="26" t="n">
        <v>0</v>
      </c>
      <c r="T20" s="26" t="n">
        <v>0</v>
      </c>
      <c r="U20" s="26" t="n">
        <v>0</v>
      </c>
      <c r="V20" s="26" t="n">
        <v>0</v>
      </c>
      <c r="W20" s="26" t="n">
        <v>0</v>
      </c>
      <c r="X20" s="26" t="n">
        <v>0</v>
      </c>
      <c r="Y20" s="26" t="n">
        <v>0</v>
      </c>
      <c r="Z20" s="26" t="n">
        <v>0</v>
      </c>
      <c r="AA20" s="26" t="n">
        <v>0</v>
      </c>
      <c r="AB20" s="26" t="n">
        <v>0</v>
      </c>
      <c r="AC20" s="26" t="n">
        <v>0</v>
      </c>
      <c r="AD20" s="26" t="n">
        <v>0</v>
      </c>
      <c r="AE20" s="26" t="n">
        <v>0</v>
      </c>
      <c r="AF20" s="26" t="n">
        <v>0</v>
      </c>
      <c r="AG20" s="26" t="n">
        <v>0</v>
      </c>
      <c r="AH20" s="26" t="n">
        <v>0</v>
      </c>
      <c r="AI20" s="26" t="n">
        <v>0</v>
      </c>
      <c r="AJ20" s="26" t="n">
        <v>0</v>
      </c>
      <c r="AK20" s="26" t="n">
        <v>0</v>
      </c>
      <c r="AL20" s="26" t="n">
        <v>0</v>
      </c>
      <c r="AM20" s="26" t="n">
        <v>0</v>
      </c>
      <c r="AN20" s="26" t="n">
        <v>0</v>
      </c>
      <c r="AO20" s="26" t="n">
        <v>0</v>
      </c>
      <c r="AP20" s="26" t="n">
        <v>0</v>
      </c>
      <c r="AQ20" s="26" t="n">
        <v>0</v>
      </c>
      <c r="AR20" s="26" t="n">
        <v>0</v>
      </c>
      <c r="AS20" s="26" t="n">
        <v>0</v>
      </c>
      <c r="AT20" s="26" t="n">
        <v>0</v>
      </c>
    </row>
    <row r="21" ht="15.75" customHeight="1">
      <c r="A21" s="23" t="inlineStr">
        <is>
          <t>TA 3.3 – Implementando la creación y la edición de cuentas de usuario</t>
        </is>
      </c>
      <c r="B21" s="24" t="inlineStr">
        <is>
          <t>Alexander Hanke</t>
        </is>
      </c>
      <c r="C21" s="25" t="inlineStr">
        <is>
          <t>Incremento 1</t>
        </is>
      </c>
      <c r="D21" s="26">
        <f>Planificación!H19</f>
        <v/>
      </c>
      <c r="E21" s="26" t="n">
        <v>6</v>
      </c>
      <c r="F21" s="26" t="n">
        <v>6</v>
      </c>
      <c r="G21" s="26" t="n">
        <v>6</v>
      </c>
      <c r="H21" s="26" t="n">
        <v>6</v>
      </c>
      <c r="I21" s="26" t="n">
        <v>6</v>
      </c>
      <c r="J21" s="26" t="n">
        <v>6</v>
      </c>
      <c r="K21" s="26" t="n">
        <v>4</v>
      </c>
      <c r="L21" s="26" t="n">
        <v>2</v>
      </c>
      <c r="M21" s="26" t="n">
        <v>0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 t="n">
        <v>0</v>
      </c>
      <c r="Y21" s="26" t="n">
        <v>0</v>
      </c>
      <c r="Z21" s="26" t="n">
        <v>0</v>
      </c>
      <c r="AA21" s="26" t="n">
        <v>0</v>
      </c>
      <c r="AB21" s="26" t="n">
        <v>0</v>
      </c>
      <c r="AC21" s="26" t="n">
        <v>0</v>
      </c>
      <c r="AD21" s="26" t="n">
        <v>0</v>
      </c>
      <c r="AE21" s="26" t="n">
        <v>0</v>
      </c>
      <c r="AF21" s="26" t="n">
        <v>0</v>
      </c>
      <c r="AG21" s="26" t="n">
        <v>0</v>
      </c>
      <c r="AH21" s="26" t="n">
        <v>0</v>
      </c>
      <c r="AI21" s="26" t="n">
        <v>0</v>
      </c>
      <c r="AJ21" s="26" t="n">
        <v>0</v>
      </c>
      <c r="AK21" s="26" t="n">
        <v>0</v>
      </c>
      <c r="AL21" s="26" t="n">
        <v>0</v>
      </c>
      <c r="AM21" s="26" t="n">
        <v>0</v>
      </c>
      <c r="AN21" s="26" t="n">
        <v>0</v>
      </c>
      <c r="AO21" s="26" t="n">
        <v>0</v>
      </c>
      <c r="AP21" s="26" t="n">
        <v>0</v>
      </c>
      <c r="AQ21" s="26" t="n">
        <v>0</v>
      </c>
      <c r="AR21" s="26" t="n">
        <v>0</v>
      </c>
      <c r="AS21" s="26" t="n">
        <v>0</v>
      </c>
      <c r="AT21" s="26" t="n">
        <v>0</v>
      </c>
    </row>
    <row r="22" ht="15.75" customHeight="1">
      <c r="A22" s="23" t="inlineStr">
        <is>
          <t>TA 3.4 – Implementando la deshabilitación de cuentas y el control de acceso por rol</t>
        </is>
      </c>
      <c r="B22" s="24" t="inlineStr">
        <is>
          <t>Josué Barrera</t>
        </is>
      </c>
      <c r="C22" s="25" t="inlineStr">
        <is>
          <t>Incremento 1</t>
        </is>
      </c>
      <c r="D22" s="26">
        <f>Planificación!H20</f>
        <v/>
      </c>
      <c r="E22" s="26" t="n">
        <v>6</v>
      </c>
      <c r="F22" s="26" t="n">
        <v>6</v>
      </c>
      <c r="G22" s="26" t="n">
        <v>6</v>
      </c>
      <c r="H22" s="26" t="n">
        <v>6</v>
      </c>
      <c r="I22" s="26" t="n">
        <v>6</v>
      </c>
      <c r="J22" s="26" t="n">
        <v>6</v>
      </c>
      <c r="K22" s="26" t="n">
        <v>6</v>
      </c>
      <c r="L22" s="26" t="n">
        <v>4</v>
      </c>
      <c r="M22" s="26" t="n">
        <v>2</v>
      </c>
      <c r="N22" s="26" t="n">
        <v>0</v>
      </c>
      <c r="O22" s="26" t="n">
        <v>0</v>
      </c>
      <c r="P22" s="26" t="n">
        <v>0</v>
      </c>
      <c r="Q22" s="26" t="n">
        <v>0</v>
      </c>
      <c r="R22" s="26" t="n">
        <v>0</v>
      </c>
      <c r="S22" s="26" t="n">
        <v>0</v>
      </c>
      <c r="T22" s="26" t="n">
        <v>0</v>
      </c>
      <c r="U22" s="26" t="n">
        <v>0</v>
      </c>
      <c r="V22" s="26" t="n">
        <v>0</v>
      </c>
      <c r="W22" s="26" t="n">
        <v>0</v>
      </c>
      <c r="X22" s="26" t="n">
        <v>0</v>
      </c>
      <c r="Y22" s="26" t="n">
        <v>0</v>
      </c>
      <c r="Z22" s="26" t="n">
        <v>0</v>
      </c>
      <c r="AA22" s="26" t="n">
        <v>0</v>
      </c>
      <c r="AB22" s="26" t="n">
        <v>0</v>
      </c>
      <c r="AC22" s="26" t="n">
        <v>0</v>
      </c>
      <c r="AD22" s="26" t="n">
        <v>0</v>
      </c>
      <c r="AE22" s="26" t="n">
        <v>0</v>
      </c>
      <c r="AF22" s="26" t="n">
        <v>0</v>
      </c>
      <c r="AG22" s="26" t="n">
        <v>0</v>
      </c>
      <c r="AH22" s="26" t="n">
        <v>0</v>
      </c>
      <c r="AI22" s="26" t="n">
        <v>0</v>
      </c>
      <c r="AJ22" s="26" t="n">
        <v>0</v>
      </c>
      <c r="AK22" s="26" t="n">
        <v>0</v>
      </c>
      <c r="AL22" s="26" t="n">
        <v>0</v>
      </c>
      <c r="AM22" s="26" t="n">
        <v>0</v>
      </c>
      <c r="AN22" s="26" t="n">
        <v>0</v>
      </c>
      <c r="AO22" s="26" t="n">
        <v>0</v>
      </c>
      <c r="AP22" s="26" t="n">
        <v>0</v>
      </c>
      <c r="AQ22" s="26" t="n">
        <v>0</v>
      </c>
      <c r="AR22" s="26" t="n">
        <v>0</v>
      </c>
      <c r="AS22" s="26" t="n">
        <v>0</v>
      </c>
      <c r="AT22" s="26" t="n">
        <v>0</v>
      </c>
    </row>
    <row r="23" ht="15.75" customHeight="1">
      <c r="A23" s="23" t="inlineStr">
        <is>
          <t>TA 3.5 – Implementando el registro y la edición de proveedores</t>
        </is>
      </c>
      <c r="B23" s="24" t="inlineStr">
        <is>
          <t>Alexander Hanke</t>
        </is>
      </c>
      <c r="C23" s="25" t="inlineStr">
        <is>
          <t>Incremento 1</t>
        </is>
      </c>
      <c r="D23" s="26">
        <f>Planificación!H21</f>
        <v/>
      </c>
      <c r="E23" s="26" t="n">
        <v>6</v>
      </c>
      <c r="F23" s="26" t="n">
        <v>6</v>
      </c>
      <c r="G23" s="26" t="n">
        <v>6</v>
      </c>
      <c r="H23" s="26" t="n">
        <v>6</v>
      </c>
      <c r="I23" s="26" t="n">
        <v>6</v>
      </c>
      <c r="J23" s="26" t="n">
        <v>6</v>
      </c>
      <c r="K23" s="26" t="n">
        <v>6</v>
      </c>
      <c r="L23" s="26" t="n">
        <v>6</v>
      </c>
      <c r="M23" s="26" t="n">
        <v>4</v>
      </c>
      <c r="N23" s="26" t="n">
        <v>2</v>
      </c>
      <c r="O23" s="26" t="n">
        <v>0</v>
      </c>
      <c r="P23" s="26" t="n">
        <v>0</v>
      </c>
      <c r="Q23" s="26" t="n">
        <v>0</v>
      </c>
      <c r="R23" s="26" t="n">
        <v>0</v>
      </c>
      <c r="S23" s="26" t="n">
        <v>0</v>
      </c>
      <c r="T23" s="26" t="n">
        <v>0</v>
      </c>
      <c r="U23" s="26" t="n">
        <v>0</v>
      </c>
      <c r="V23" s="26" t="n">
        <v>0</v>
      </c>
      <c r="W23" s="26" t="n">
        <v>0</v>
      </c>
      <c r="X23" s="26" t="n">
        <v>0</v>
      </c>
      <c r="Y23" s="26" t="n">
        <v>0</v>
      </c>
      <c r="Z23" s="26" t="n">
        <v>0</v>
      </c>
      <c r="AA23" s="26" t="n">
        <v>0</v>
      </c>
      <c r="AB23" s="26" t="n">
        <v>0</v>
      </c>
      <c r="AC23" s="26" t="n">
        <v>0</v>
      </c>
      <c r="AD23" s="26" t="n">
        <v>0</v>
      </c>
      <c r="AE23" s="26" t="n">
        <v>0</v>
      </c>
      <c r="AF23" s="26" t="n">
        <v>0</v>
      </c>
      <c r="AG23" s="26" t="n">
        <v>0</v>
      </c>
      <c r="AH23" s="26" t="n">
        <v>0</v>
      </c>
      <c r="AI23" s="26" t="n">
        <v>0</v>
      </c>
      <c r="AJ23" s="26" t="n">
        <v>0</v>
      </c>
      <c r="AK23" s="26" t="n">
        <v>0</v>
      </c>
      <c r="AL23" s="26" t="n">
        <v>0</v>
      </c>
      <c r="AM23" s="26" t="n">
        <v>0</v>
      </c>
      <c r="AN23" s="26" t="n">
        <v>0</v>
      </c>
      <c r="AO23" s="26" t="n">
        <v>0</v>
      </c>
      <c r="AP23" s="26" t="n">
        <v>0</v>
      </c>
      <c r="AQ23" s="26" t="n">
        <v>0</v>
      </c>
      <c r="AR23" s="26" t="n">
        <v>0</v>
      </c>
      <c r="AS23" s="26" t="n">
        <v>0</v>
      </c>
      <c r="AT23" s="26" t="n">
        <v>0</v>
      </c>
    </row>
    <row r="24" ht="15.75" customHeight="1">
      <c r="A24" s="23" t="inlineStr">
        <is>
          <t>TA 3.6 – Implementando la asignación del jefe de proyecto</t>
        </is>
      </c>
      <c r="B24" s="24" t="inlineStr">
        <is>
          <t>Josué Barrera</t>
        </is>
      </c>
      <c r="C24" s="25" t="inlineStr">
        <is>
          <t>Incremento 1</t>
        </is>
      </c>
      <c r="D24" s="26">
        <f>Planificación!H22</f>
        <v/>
      </c>
      <c r="E24" s="26" t="n">
        <v>6</v>
      </c>
      <c r="F24" s="26" t="n">
        <v>6</v>
      </c>
      <c r="G24" s="26" t="n">
        <v>6</v>
      </c>
      <c r="H24" s="26" t="n">
        <v>6</v>
      </c>
      <c r="I24" s="26" t="n">
        <v>6</v>
      </c>
      <c r="J24" s="26" t="n">
        <v>6</v>
      </c>
      <c r="K24" s="26" t="n">
        <v>6</v>
      </c>
      <c r="L24" s="26" t="n">
        <v>6</v>
      </c>
      <c r="M24" s="26" t="n">
        <v>6</v>
      </c>
      <c r="N24" s="26" t="n">
        <v>4</v>
      </c>
      <c r="O24" s="26" t="n">
        <v>2</v>
      </c>
      <c r="P24" s="26" t="n">
        <v>0</v>
      </c>
      <c r="Q24" s="26" t="n">
        <v>0</v>
      </c>
      <c r="R24" s="26" t="n">
        <v>0</v>
      </c>
      <c r="S24" s="26" t="n">
        <v>0</v>
      </c>
      <c r="T24" s="26" t="n">
        <v>0</v>
      </c>
      <c r="U24" s="26" t="n">
        <v>0</v>
      </c>
      <c r="V24" s="26" t="n">
        <v>0</v>
      </c>
      <c r="W24" s="26" t="n">
        <v>0</v>
      </c>
      <c r="X24" s="26" t="n">
        <v>0</v>
      </c>
      <c r="Y24" s="26" t="n">
        <v>0</v>
      </c>
      <c r="Z24" s="26" t="n">
        <v>0</v>
      </c>
      <c r="AA24" s="26" t="n">
        <v>0</v>
      </c>
      <c r="AB24" s="26" t="n">
        <v>0</v>
      </c>
      <c r="AC24" s="26" t="n">
        <v>0</v>
      </c>
      <c r="AD24" s="26" t="n">
        <v>0</v>
      </c>
      <c r="AE24" s="26" t="n">
        <v>0</v>
      </c>
      <c r="AF24" s="26" t="n">
        <v>0</v>
      </c>
      <c r="AG24" s="26" t="n">
        <v>0</v>
      </c>
      <c r="AH24" s="26" t="n">
        <v>0</v>
      </c>
      <c r="AI24" s="26" t="n">
        <v>0</v>
      </c>
      <c r="AJ24" s="26" t="n">
        <v>0</v>
      </c>
      <c r="AK24" s="26" t="n">
        <v>0</v>
      </c>
      <c r="AL24" s="26" t="n">
        <v>0</v>
      </c>
      <c r="AM24" s="26" t="n">
        <v>0</v>
      </c>
      <c r="AN24" s="26" t="n">
        <v>0</v>
      </c>
      <c r="AO24" s="26" t="n">
        <v>0</v>
      </c>
      <c r="AP24" s="26" t="n">
        <v>0</v>
      </c>
      <c r="AQ24" s="26" t="n">
        <v>0</v>
      </c>
      <c r="AR24" s="26" t="n">
        <v>0</v>
      </c>
      <c r="AS24" s="26" t="n">
        <v>0</v>
      </c>
      <c r="AT24" s="26" t="n">
        <v>0</v>
      </c>
    </row>
    <row r="25" ht="15.75" customHeight="1">
      <c r="A25" s="23" t="inlineStr">
        <is>
          <t>TA 3.7 – Implementando el cambio de estado del proyecto</t>
        </is>
      </c>
      <c r="B25" s="24" t="inlineStr">
        <is>
          <t>Alexander Hanke</t>
        </is>
      </c>
      <c r="C25" s="25" t="inlineStr">
        <is>
          <t>Incremento 1</t>
        </is>
      </c>
      <c r="D25" s="26">
        <f>Planificación!H23</f>
        <v/>
      </c>
      <c r="E25" s="26" t="n">
        <v>6</v>
      </c>
      <c r="F25" s="26" t="n">
        <v>6</v>
      </c>
      <c r="G25" s="26" t="n">
        <v>6</v>
      </c>
      <c r="H25" s="26" t="n">
        <v>6</v>
      </c>
      <c r="I25" s="26" t="n">
        <v>6</v>
      </c>
      <c r="J25" s="26" t="n">
        <v>6</v>
      </c>
      <c r="K25" s="26" t="n">
        <v>6</v>
      </c>
      <c r="L25" s="26" t="n">
        <v>6</v>
      </c>
      <c r="M25" s="26" t="n">
        <v>6</v>
      </c>
      <c r="N25" s="26" t="n">
        <v>6</v>
      </c>
      <c r="O25" s="26" t="n">
        <v>4</v>
      </c>
      <c r="P25" s="26" t="n">
        <v>2</v>
      </c>
      <c r="Q25" s="26" t="n">
        <v>0</v>
      </c>
      <c r="R25" s="26" t="n">
        <v>0</v>
      </c>
      <c r="S25" s="26" t="n">
        <v>0</v>
      </c>
      <c r="T25" s="26" t="n">
        <v>0</v>
      </c>
      <c r="U25" s="26" t="n">
        <v>0</v>
      </c>
      <c r="V25" s="26" t="n">
        <v>0</v>
      </c>
      <c r="W25" s="26" t="n">
        <v>0</v>
      </c>
      <c r="X25" s="26" t="n">
        <v>0</v>
      </c>
      <c r="Y25" s="26" t="n">
        <v>0</v>
      </c>
      <c r="Z25" s="26" t="n">
        <v>0</v>
      </c>
      <c r="AA25" s="26" t="n">
        <v>0</v>
      </c>
      <c r="AB25" s="26" t="n">
        <v>0</v>
      </c>
      <c r="AC25" s="26" t="n">
        <v>0</v>
      </c>
      <c r="AD25" s="26" t="n">
        <v>0</v>
      </c>
      <c r="AE25" s="26" t="n">
        <v>0</v>
      </c>
      <c r="AF25" s="26" t="n">
        <v>0</v>
      </c>
      <c r="AG25" s="26" t="n">
        <v>0</v>
      </c>
      <c r="AH25" s="26" t="n">
        <v>0</v>
      </c>
      <c r="AI25" s="26" t="n">
        <v>0</v>
      </c>
      <c r="AJ25" s="26" t="n">
        <v>0</v>
      </c>
      <c r="AK25" s="26" t="n">
        <v>0</v>
      </c>
      <c r="AL25" s="26" t="n">
        <v>0</v>
      </c>
      <c r="AM25" s="26" t="n">
        <v>0</v>
      </c>
      <c r="AN25" s="26" t="n">
        <v>0</v>
      </c>
      <c r="AO25" s="26" t="n">
        <v>0</v>
      </c>
      <c r="AP25" s="26" t="n">
        <v>0</v>
      </c>
      <c r="AQ25" s="26" t="n">
        <v>0</v>
      </c>
      <c r="AR25" s="26" t="n">
        <v>0</v>
      </c>
      <c r="AS25" s="26" t="n">
        <v>0</v>
      </c>
      <c r="AT25" s="26" t="n">
        <v>0</v>
      </c>
    </row>
    <row r="26" ht="15.75" customHeight="1">
      <c r="A26" s="23" t="inlineStr">
        <is>
          <t>TA 3.8 – Implementando la creación de la solicitud de materiales</t>
        </is>
      </c>
      <c r="B26" s="24" t="inlineStr">
        <is>
          <t>Josué Barrera</t>
        </is>
      </c>
      <c r="C26" s="25" t="inlineStr">
        <is>
          <t>Incremento 1</t>
        </is>
      </c>
      <c r="D26" s="26">
        <f>Planificación!H24</f>
        <v/>
      </c>
      <c r="E26" s="26" t="n">
        <v>6</v>
      </c>
      <c r="F26" s="26" t="n">
        <v>6</v>
      </c>
      <c r="G26" s="26" t="n">
        <v>6</v>
      </c>
      <c r="H26" s="26" t="n">
        <v>6</v>
      </c>
      <c r="I26" s="26" t="n">
        <v>6</v>
      </c>
      <c r="J26" s="26" t="n">
        <v>6</v>
      </c>
      <c r="K26" s="26" t="n">
        <v>6</v>
      </c>
      <c r="L26" s="26" t="n">
        <v>6</v>
      </c>
      <c r="M26" s="26" t="n">
        <v>6</v>
      </c>
      <c r="N26" s="26" t="n">
        <v>6</v>
      </c>
      <c r="O26" s="26" t="n">
        <v>6</v>
      </c>
      <c r="P26" s="26" t="n">
        <v>4</v>
      </c>
      <c r="Q26" s="26" t="n">
        <v>2</v>
      </c>
      <c r="R26" s="26" t="n">
        <v>0</v>
      </c>
      <c r="S26" s="26" t="n">
        <v>0</v>
      </c>
      <c r="T26" s="26" t="n">
        <v>0</v>
      </c>
      <c r="U26" s="26" t="n">
        <v>0</v>
      </c>
      <c r="V26" s="26" t="n">
        <v>0</v>
      </c>
      <c r="W26" s="26" t="n">
        <v>0</v>
      </c>
      <c r="X26" s="26" t="n">
        <v>0</v>
      </c>
      <c r="Y26" s="26" t="n">
        <v>0</v>
      </c>
      <c r="Z26" s="26" t="n">
        <v>0</v>
      </c>
      <c r="AA26" s="26" t="n">
        <v>0</v>
      </c>
      <c r="AB26" s="26" t="n">
        <v>0</v>
      </c>
      <c r="AC26" s="26" t="n">
        <v>0</v>
      </c>
      <c r="AD26" s="26" t="n">
        <v>0</v>
      </c>
      <c r="AE26" s="26" t="n">
        <v>0</v>
      </c>
      <c r="AF26" s="26" t="n">
        <v>0</v>
      </c>
      <c r="AG26" s="26" t="n">
        <v>0</v>
      </c>
      <c r="AH26" s="26" t="n">
        <v>0</v>
      </c>
      <c r="AI26" s="26" t="n">
        <v>0</v>
      </c>
      <c r="AJ26" s="26" t="n">
        <v>0</v>
      </c>
      <c r="AK26" s="26" t="n">
        <v>0</v>
      </c>
      <c r="AL26" s="26" t="n">
        <v>0</v>
      </c>
      <c r="AM26" s="26" t="n">
        <v>0</v>
      </c>
      <c r="AN26" s="26" t="n">
        <v>0</v>
      </c>
      <c r="AO26" s="26" t="n">
        <v>0</v>
      </c>
      <c r="AP26" s="26" t="n">
        <v>0</v>
      </c>
      <c r="AQ26" s="26" t="n">
        <v>0</v>
      </c>
      <c r="AR26" s="26" t="n">
        <v>0</v>
      </c>
      <c r="AS26" s="26" t="n">
        <v>0</v>
      </c>
      <c r="AT26" s="26" t="n">
        <v>0</v>
      </c>
    </row>
    <row r="27" ht="15.75" customHeight="1">
      <c r="A27" s="23" t="inlineStr">
        <is>
          <t>TA 3.9 – Implementando el detalle y la edición de la solicitud de materiales</t>
        </is>
      </c>
      <c r="B27" s="24" t="inlineStr">
        <is>
          <t>Alexander Hanke</t>
        </is>
      </c>
      <c r="C27" s="25" t="inlineStr">
        <is>
          <t>Incremento 1</t>
        </is>
      </c>
      <c r="D27" s="26">
        <f>Planificación!H25</f>
        <v/>
      </c>
      <c r="E27" s="26" t="n">
        <v>6</v>
      </c>
      <c r="F27" s="26" t="n">
        <v>6</v>
      </c>
      <c r="G27" s="26" t="n">
        <v>6</v>
      </c>
      <c r="H27" s="26" t="n">
        <v>6</v>
      </c>
      <c r="I27" s="26" t="n">
        <v>6</v>
      </c>
      <c r="J27" s="26" t="n">
        <v>6</v>
      </c>
      <c r="K27" s="26" t="n">
        <v>6</v>
      </c>
      <c r="L27" s="26" t="n">
        <v>6</v>
      </c>
      <c r="M27" s="26" t="n">
        <v>6</v>
      </c>
      <c r="N27" s="26" t="n">
        <v>6</v>
      </c>
      <c r="O27" s="26" t="n">
        <v>6</v>
      </c>
      <c r="P27" s="26" t="n">
        <v>6</v>
      </c>
      <c r="Q27" s="26" t="n">
        <v>4</v>
      </c>
      <c r="R27" s="26" t="n">
        <v>2</v>
      </c>
      <c r="S27" s="26" t="n">
        <v>0</v>
      </c>
      <c r="T27" s="26" t="n">
        <v>0</v>
      </c>
      <c r="U27" s="26" t="n">
        <v>0</v>
      </c>
      <c r="V27" s="26" t="n">
        <v>0</v>
      </c>
      <c r="W27" s="26" t="n">
        <v>0</v>
      </c>
      <c r="X27" s="26" t="n">
        <v>0</v>
      </c>
      <c r="Y27" s="26" t="n">
        <v>0</v>
      </c>
      <c r="Z27" s="26" t="n">
        <v>0</v>
      </c>
      <c r="AA27" s="26" t="n">
        <v>0</v>
      </c>
      <c r="AB27" s="26" t="n">
        <v>0</v>
      </c>
      <c r="AC27" s="26" t="n">
        <v>0</v>
      </c>
      <c r="AD27" s="26" t="n">
        <v>0</v>
      </c>
      <c r="AE27" s="26" t="n">
        <v>0</v>
      </c>
      <c r="AF27" s="26" t="n">
        <v>0</v>
      </c>
      <c r="AG27" s="26" t="n">
        <v>0</v>
      </c>
      <c r="AH27" s="26" t="n">
        <v>0</v>
      </c>
      <c r="AI27" s="26" t="n">
        <v>0</v>
      </c>
      <c r="AJ27" s="26" t="n">
        <v>0</v>
      </c>
      <c r="AK27" s="26" t="n">
        <v>0</v>
      </c>
      <c r="AL27" s="26" t="n">
        <v>0</v>
      </c>
      <c r="AM27" s="26" t="n">
        <v>0</v>
      </c>
      <c r="AN27" s="26" t="n">
        <v>0</v>
      </c>
      <c r="AO27" s="26" t="n">
        <v>0</v>
      </c>
      <c r="AP27" s="26" t="n">
        <v>0</v>
      </c>
      <c r="AQ27" s="26" t="n">
        <v>0</v>
      </c>
      <c r="AR27" s="26" t="n">
        <v>0</v>
      </c>
      <c r="AS27" s="26" t="n">
        <v>0</v>
      </c>
      <c r="AT27" s="26" t="n">
        <v>0</v>
      </c>
    </row>
    <row r="28" ht="15.75" customHeight="1">
      <c r="A28" s="23" t="inlineStr">
        <is>
          <t>TA 3.10 – Implementando la consulta y el seguimiento de solicitudes</t>
        </is>
      </c>
      <c r="B28" s="24" t="inlineStr">
        <is>
          <t>Josué Barrera</t>
        </is>
      </c>
      <c r="C28" s="25" t="inlineStr">
        <is>
          <t>Incremento 1</t>
        </is>
      </c>
      <c r="D28" s="26">
        <f>Planificación!H26</f>
        <v/>
      </c>
      <c r="E28" s="26" t="n">
        <v>6</v>
      </c>
      <c r="F28" s="26" t="n">
        <v>6</v>
      </c>
      <c r="G28" s="26" t="n">
        <v>6</v>
      </c>
      <c r="H28" s="26" t="n">
        <v>6</v>
      </c>
      <c r="I28" s="26" t="n">
        <v>6</v>
      </c>
      <c r="J28" s="26" t="n">
        <v>6</v>
      </c>
      <c r="K28" s="26" t="n">
        <v>6</v>
      </c>
      <c r="L28" s="26" t="n">
        <v>6</v>
      </c>
      <c r="M28" s="26" t="n">
        <v>6</v>
      </c>
      <c r="N28" s="26" t="n">
        <v>6</v>
      </c>
      <c r="O28" s="26" t="n">
        <v>6</v>
      </c>
      <c r="P28" s="26" t="n">
        <v>6</v>
      </c>
      <c r="Q28" s="26" t="n">
        <v>6</v>
      </c>
      <c r="R28" s="26" t="n">
        <v>4</v>
      </c>
      <c r="S28" s="26" t="n">
        <v>2</v>
      </c>
      <c r="T28" s="26" t="n">
        <v>0</v>
      </c>
      <c r="U28" s="26" t="n">
        <v>0</v>
      </c>
      <c r="V28" s="26" t="n">
        <v>0</v>
      </c>
      <c r="W28" s="26" t="n">
        <v>0</v>
      </c>
      <c r="X28" s="26" t="n">
        <v>0</v>
      </c>
      <c r="Y28" s="26" t="n">
        <v>0</v>
      </c>
      <c r="Z28" s="26" t="n">
        <v>0</v>
      </c>
      <c r="AA28" s="26" t="n">
        <v>0</v>
      </c>
      <c r="AB28" s="26" t="n">
        <v>0</v>
      </c>
      <c r="AC28" s="26" t="n">
        <v>0</v>
      </c>
      <c r="AD28" s="26" t="n">
        <v>0</v>
      </c>
      <c r="AE28" s="26" t="n">
        <v>0</v>
      </c>
      <c r="AF28" s="26" t="n">
        <v>0</v>
      </c>
      <c r="AG28" s="26" t="n">
        <v>0</v>
      </c>
      <c r="AH28" s="26" t="n">
        <v>0</v>
      </c>
      <c r="AI28" s="26" t="n">
        <v>0</v>
      </c>
      <c r="AJ28" s="26" t="n">
        <v>0</v>
      </c>
      <c r="AK28" s="26" t="n">
        <v>0</v>
      </c>
      <c r="AL28" s="26" t="n">
        <v>0</v>
      </c>
      <c r="AM28" s="26" t="n">
        <v>0</v>
      </c>
      <c r="AN28" s="26" t="n">
        <v>0</v>
      </c>
      <c r="AO28" s="26" t="n">
        <v>0</v>
      </c>
      <c r="AP28" s="26" t="n">
        <v>0</v>
      </c>
      <c r="AQ28" s="26" t="n">
        <v>0</v>
      </c>
      <c r="AR28" s="26" t="n">
        <v>0</v>
      </c>
      <c r="AS28" s="26" t="n">
        <v>0</v>
      </c>
      <c r="AT28" s="26" t="n">
        <v>0</v>
      </c>
    </row>
    <row r="29" ht="15.75" customHeight="1">
      <c r="A29" s="23" t="inlineStr">
        <is>
          <t>TA 3.11 – Implementando el panel principal con el menú según el rol</t>
        </is>
      </c>
      <c r="B29" s="24" t="inlineStr">
        <is>
          <t>Alexander Hanke</t>
        </is>
      </c>
      <c r="C29" s="25" t="inlineStr">
        <is>
          <t>Incremento 1</t>
        </is>
      </c>
      <c r="D29" s="26">
        <f>Planificación!H27</f>
        <v/>
      </c>
      <c r="E29" s="26" t="n">
        <v>6</v>
      </c>
      <c r="F29" s="26" t="n">
        <v>6</v>
      </c>
      <c r="G29" s="26" t="n">
        <v>6</v>
      </c>
      <c r="H29" s="26" t="n">
        <v>6</v>
      </c>
      <c r="I29" s="26" t="n">
        <v>6</v>
      </c>
      <c r="J29" s="26" t="n">
        <v>6</v>
      </c>
      <c r="K29" s="26" t="n">
        <v>6</v>
      </c>
      <c r="L29" s="26" t="n">
        <v>6</v>
      </c>
      <c r="M29" s="26" t="n">
        <v>6</v>
      </c>
      <c r="N29" s="26" t="n">
        <v>6</v>
      </c>
      <c r="O29" s="26" t="n">
        <v>6</v>
      </c>
      <c r="P29" s="26" t="n">
        <v>6</v>
      </c>
      <c r="Q29" s="26" t="n">
        <v>6</v>
      </c>
      <c r="R29" s="26" t="n">
        <v>6</v>
      </c>
      <c r="S29" s="26" t="n">
        <v>4</v>
      </c>
      <c r="T29" s="26" t="n">
        <v>2</v>
      </c>
      <c r="U29" s="26" t="n">
        <v>0</v>
      </c>
      <c r="V29" s="26" t="n">
        <v>0</v>
      </c>
      <c r="W29" s="26" t="n">
        <v>0</v>
      </c>
      <c r="X29" s="26" t="n">
        <v>0</v>
      </c>
      <c r="Y29" s="26" t="n">
        <v>0</v>
      </c>
      <c r="Z29" s="26" t="n">
        <v>0</v>
      </c>
      <c r="AA29" s="26" t="n">
        <v>0</v>
      </c>
      <c r="AB29" s="26" t="n">
        <v>0</v>
      </c>
      <c r="AC29" s="26" t="n">
        <v>0</v>
      </c>
      <c r="AD29" s="26" t="n">
        <v>0</v>
      </c>
      <c r="AE29" s="26" t="n">
        <v>0</v>
      </c>
      <c r="AF29" s="26" t="n">
        <v>0</v>
      </c>
      <c r="AG29" s="26" t="n">
        <v>0</v>
      </c>
      <c r="AH29" s="26" t="n">
        <v>0</v>
      </c>
      <c r="AI29" s="26" t="n">
        <v>0</v>
      </c>
      <c r="AJ29" s="26" t="n">
        <v>0</v>
      </c>
      <c r="AK29" s="26" t="n">
        <v>0</v>
      </c>
      <c r="AL29" s="26" t="n">
        <v>0</v>
      </c>
      <c r="AM29" s="26" t="n">
        <v>0</v>
      </c>
      <c r="AN29" s="26" t="n">
        <v>0</v>
      </c>
      <c r="AO29" s="26" t="n">
        <v>0</v>
      </c>
      <c r="AP29" s="26" t="n">
        <v>0</v>
      </c>
      <c r="AQ29" s="26" t="n">
        <v>0</v>
      </c>
      <c r="AR29" s="26" t="n">
        <v>0</v>
      </c>
      <c r="AS29" s="26" t="n">
        <v>0</v>
      </c>
      <c r="AT29" s="26" t="n">
        <v>0</v>
      </c>
    </row>
    <row r="30" ht="15.75" customHeight="1">
      <c r="A30" s="23" t="inlineStr">
        <is>
          <t>TA 3.12 – Cargando los datos de prueba iniciales en la base de datos</t>
        </is>
      </c>
      <c r="B30" s="24" t="inlineStr">
        <is>
          <t>Josué Barrera</t>
        </is>
      </c>
      <c r="C30" s="25" t="inlineStr">
        <is>
          <t>Incremento 1</t>
        </is>
      </c>
      <c r="D30" s="26">
        <f>Planificación!H28</f>
        <v/>
      </c>
      <c r="E30" s="26" t="n">
        <v>4</v>
      </c>
      <c r="F30" s="26" t="n">
        <v>4</v>
      </c>
      <c r="G30" s="26" t="n">
        <v>4</v>
      </c>
      <c r="H30" s="26" t="n">
        <v>4</v>
      </c>
      <c r="I30" s="26" t="n">
        <v>4</v>
      </c>
      <c r="J30" s="26" t="n">
        <v>4</v>
      </c>
      <c r="K30" s="26" t="n">
        <v>4</v>
      </c>
      <c r="L30" s="26" t="n">
        <v>4</v>
      </c>
      <c r="M30" s="26" t="n">
        <v>4</v>
      </c>
      <c r="N30" s="26" t="n">
        <v>4</v>
      </c>
      <c r="O30" s="26" t="n">
        <v>4</v>
      </c>
      <c r="P30" s="26" t="n">
        <v>4</v>
      </c>
      <c r="Q30" s="26" t="n">
        <v>4</v>
      </c>
      <c r="R30" s="26" t="n">
        <v>4</v>
      </c>
      <c r="S30" s="26" t="n">
        <v>4</v>
      </c>
      <c r="T30" s="26" t="n">
        <v>2</v>
      </c>
      <c r="U30" s="26" t="n">
        <v>0</v>
      </c>
      <c r="V30" s="26" t="n">
        <v>0</v>
      </c>
      <c r="W30" s="26" t="n">
        <v>0</v>
      </c>
      <c r="X30" s="26" t="n">
        <v>0</v>
      </c>
      <c r="Y30" s="26" t="n">
        <v>0</v>
      </c>
      <c r="Z30" s="26" t="n">
        <v>0</v>
      </c>
      <c r="AA30" s="26" t="n">
        <v>0</v>
      </c>
      <c r="AB30" s="26" t="n">
        <v>0</v>
      </c>
      <c r="AC30" s="26" t="n">
        <v>0</v>
      </c>
      <c r="AD30" s="26" t="n">
        <v>0</v>
      </c>
      <c r="AE30" s="26" t="n">
        <v>0</v>
      </c>
      <c r="AF30" s="26" t="n">
        <v>0</v>
      </c>
      <c r="AG30" s="26" t="n">
        <v>0</v>
      </c>
      <c r="AH30" s="26" t="n">
        <v>0</v>
      </c>
      <c r="AI30" s="26" t="n">
        <v>0</v>
      </c>
      <c r="AJ30" s="26" t="n">
        <v>0</v>
      </c>
      <c r="AK30" s="26" t="n">
        <v>0</v>
      </c>
      <c r="AL30" s="26" t="n">
        <v>0</v>
      </c>
      <c r="AM30" s="26" t="n">
        <v>0</v>
      </c>
      <c r="AN30" s="26" t="n">
        <v>0</v>
      </c>
      <c r="AO30" s="26" t="n">
        <v>0</v>
      </c>
      <c r="AP30" s="26" t="n">
        <v>0</v>
      </c>
      <c r="AQ30" s="26" t="n">
        <v>0</v>
      </c>
      <c r="AR30" s="26" t="n">
        <v>0</v>
      </c>
      <c r="AS30" s="26" t="n">
        <v>0</v>
      </c>
      <c r="AT30" s="26" t="n">
        <v>0</v>
      </c>
    </row>
    <row r="31" ht="15.75" customHeight="1">
      <c r="A31" s="23" t="inlineStr">
        <is>
          <t>TA 4.1 – Realizando el modelo entidad-relación del incremento</t>
        </is>
      </c>
      <c r="B31" s="24" t="inlineStr">
        <is>
          <t>Roberto Seguel</t>
        </is>
      </c>
      <c r="C31" s="25" t="inlineStr">
        <is>
          <t>Incremento 1</t>
        </is>
      </c>
      <c r="D31" s="26">
        <f>Planificación!H30</f>
        <v/>
      </c>
      <c r="E31" s="26" t="n">
        <v>6</v>
      </c>
      <c r="F31" s="26" t="n">
        <v>6</v>
      </c>
      <c r="G31" s="26" t="n">
        <v>6</v>
      </c>
      <c r="H31" s="26" t="n">
        <v>6</v>
      </c>
      <c r="I31" s="26" t="n">
        <v>6</v>
      </c>
      <c r="J31" s="26" t="n">
        <v>4</v>
      </c>
      <c r="K31" s="26" t="n">
        <v>2</v>
      </c>
      <c r="L31" s="26" t="n">
        <v>0</v>
      </c>
      <c r="M31" s="26" t="n">
        <v>0</v>
      </c>
      <c r="N31" s="26" t="n">
        <v>0</v>
      </c>
      <c r="O31" s="26" t="n">
        <v>0</v>
      </c>
      <c r="P31" s="26" t="n">
        <v>0</v>
      </c>
      <c r="Q31" s="26" t="n">
        <v>0</v>
      </c>
      <c r="R31" s="26" t="n">
        <v>0</v>
      </c>
      <c r="S31" s="26" t="n">
        <v>0</v>
      </c>
      <c r="T31" s="26" t="n">
        <v>0</v>
      </c>
      <c r="U31" s="26" t="n">
        <v>0</v>
      </c>
      <c r="V31" s="26" t="n">
        <v>0</v>
      </c>
      <c r="W31" s="26" t="n">
        <v>0</v>
      </c>
      <c r="X31" s="26" t="n">
        <v>0</v>
      </c>
      <c r="Y31" s="26" t="n">
        <v>0</v>
      </c>
      <c r="Z31" s="26" t="n">
        <v>0</v>
      </c>
      <c r="AA31" s="26" t="n">
        <v>0</v>
      </c>
      <c r="AB31" s="26" t="n">
        <v>0</v>
      </c>
      <c r="AC31" s="26" t="n">
        <v>0</v>
      </c>
      <c r="AD31" s="26" t="n">
        <v>0</v>
      </c>
      <c r="AE31" s="26" t="n">
        <v>0</v>
      </c>
      <c r="AF31" s="26" t="n">
        <v>0</v>
      </c>
      <c r="AG31" s="26" t="n">
        <v>0</v>
      </c>
      <c r="AH31" s="26" t="n">
        <v>0</v>
      </c>
      <c r="AI31" s="26" t="n">
        <v>0</v>
      </c>
      <c r="AJ31" s="26" t="n">
        <v>0</v>
      </c>
      <c r="AK31" s="26" t="n">
        <v>0</v>
      </c>
      <c r="AL31" s="26" t="n">
        <v>0</v>
      </c>
      <c r="AM31" s="26" t="n">
        <v>0</v>
      </c>
      <c r="AN31" s="26" t="n">
        <v>0</v>
      </c>
      <c r="AO31" s="26" t="n">
        <v>0</v>
      </c>
      <c r="AP31" s="26" t="n">
        <v>0</v>
      </c>
      <c r="AQ31" s="26" t="n">
        <v>0</v>
      </c>
      <c r="AR31" s="26" t="n">
        <v>0</v>
      </c>
      <c r="AS31" s="26" t="n">
        <v>0</v>
      </c>
      <c r="AT31" s="26" t="n">
        <v>0</v>
      </c>
    </row>
    <row r="32" ht="15.75" customHeight="1">
      <c r="A32" s="23" t="inlineStr">
        <is>
          <t>TA 4.2 – Realizando el diagrama de casos de uso del sistema</t>
        </is>
      </c>
      <c r="B32" s="24" t="inlineStr">
        <is>
          <t>Roberto Seguel</t>
        </is>
      </c>
      <c r="C32" s="25" t="inlineStr">
        <is>
          <t>Incremento 1</t>
        </is>
      </c>
      <c r="D32" s="26">
        <f>Planificación!H31</f>
        <v/>
      </c>
      <c r="E32" s="26" t="n">
        <v>4</v>
      </c>
      <c r="F32" s="26" t="n">
        <v>4</v>
      </c>
      <c r="G32" s="26" t="n">
        <v>4</v>
      </c>
      <c r="H32" s="26" t="n">
        <v>4</v>
      </c>
      <c r="I32" s="26" t="n">
        <v>4</v>
      </c>
      <c r="J32" s="26" t="n">
        <v>4</v>
      </c>
      <c r="K32" s="26" t="n">
        <v>4</v>
      </c>
      <c r="L32" s="26" t="n">
        <v>2</v>
      </c>
      <c r="M32" s="26" t="n">
        <v>0</v>
      </c>
      <c r="N32" s="26" t="n">
        <v>0</v>
      </c>
      <c r="O32" s="26" t="n">
        <v>0</v>
      </c>
      <c r="P32" s="26" t="n">
        <v>0</v>
      </c>
      <c r="Q32" s="26" t="n">
        <v>0</v>
      </c>
      <c r="R32" s="26" t="n">
        <v>0</v>
      </c>
      <c r="S32" s="26" t="n">
        <v>0</v>
      </c>
      <c r="T32" s="26" t="n">
        <v>0</v>
      </c>
      <c r="U32" s="26" t="n">
        <v>0</v>
      </c>
      <c r="V32" s="26" t="n">
        <v>0</v>
      </c>
      <c r="W32" s="26" t="n">
        <v>0</v>
      </c>
      <c r="X32" s="26" t="n">
        <v>0</v>
      </c>
      <c r="Y32" s="26" t="n">
        <v>0</v>
      </c>
      <c r="Z32" s="26" t="n">
        <v>0</v>
      </c>
      <c r="AA32" s="26" t="n">
        <v>0</v>
      </c>
      <c r="AB32" s="26" t="n">
        <v>0</v>
      </c>
      <c r="AC32" s="26" t="n">
        <v>0</v>
      </c>
      <c r="AD32" s="26" t="n">
        <v>0</v>
      </c>
      <c r="AE32" s="26" t="n">
        <v>0</v>
      </c>
      <c r="AF32" s="26" t="n">
        <v>0</v>
      </c>
      <c r="AG32" s="26" t="n">
        <v>0</v>
      </c>
      <c r="AH32" s="26" t="n">
        <v>0</v>
      </c>
      <c r="AI32" s="26" t="n">
        <v>0</v>
      </c>
      <c r="AJ32" s="26" t="n">
        <v>0</v>
      </c>
      <c r="AK32" s="26" t="n">
        <v>0</v>
      </c>
      <c r="AL32" s="26" t="n">
        <v>0</v>
      </c>
      <c r="AM32" s="26" t="n">
        <v>0</v>
      </c>
      <c r="AN32" s="26" t="n">
        <v>0</v>
      </c>
      <c r="AO32" s="26" t="n">
        <v>0</v>
      </c>
      <c r="AP32" s="26" t="n">
        <v>0</v>
      </c>
      <c r="AQ32" s="26" t="n">
        <v>0</v>
      </c>
      <c r="AR32" s="26" t="n">
        <v>0</v>
      </c>
      <c r="AS32" s="26" t="n">
        <v>0</v>
      </c>
      <c r="AT32" s="26" t="n">
        <v>0</v>
      </c>
    </row>
    <row r="33" ht="15.75" customHeight="1">
      <c r="A33" s="23" t="inlineStr">
        <is>
          <t>TA 4.3 – Realizando los diagramas de secuencia del incremento</t>
        </is>
      </c>
      <c r="B33" s="24" t="inlineStr">
        <is>
          <t>Roberto Seguel</t>
        </is>
      </c>
      <c r="C33" s="25" t="inlineStr">
        <is>
          <t>Incremento 1</t>
        </is>
      </c>
      <c r="D33" s="26">
        <f>Planificación!H32</f>
        <v/>
      </c>
      <c r="E33" s="26" t="n">
        <v>8</v>
      </c>
      <c r="F33" s="26" t="n">
        <v>8</v>
      </c>
      <c r="G33" s="26" t="n">
        <v>8</v>
      </c>
      <c r="H33" s="26" t="n">
        <v>8</v>
      </c>
      <c r="I33" s="26" t="n">
        <v>8</v>
      </c>
      <c r="J33" s="26" t="n">
        <v>8</v>
      </c>
      <c r="K33" s="26" t="n">
        <v>8</v>
      </c>
      <c r="L33" s="26" t="n">
        <v>8</v>
      </c>
      <c r="M33" s="26" t="n">
        <v>8</v>
      </c>
      <c r="N33" s="26" t="n">
        <v>6</v>
      </c>
      <c r="O33" s="26" t="n">
        <v>5</v>
      </c>
      <c r="P33" s="26" t="n">
        <v>3</v>
      </c>
      <c r="Q33" s="26" t="n">
        <v>2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  <c r="Z33" s="26" t="n">
        <v>0</v>
      </c>
      <c r="AA33" s="26" t="n">
        <v>0</v>
      </c>
      <c r="AB33" s="26" t="n">
        <v>0</v>
      </c>
      <c r="AC33" s="26" t="n">
        <v>0</v>
      </c>
      <c r="AD33" s="26" t="n">
        <v>0</v>
      </c>
      <c r="AE33" s="26" t="n">
        <v>0</v>
      </c>
      <c r="AF33" s="26" t="n">
        <v>0</v>
      </c>
      <c r="AG33" s="26" t="n">
        <v>0</v>
      </c>
      <c r="AH33" s="26" t="n">
        <v>0</v>
      </c>
      <c r="AI33" s="26" t="n">
        <v>0</v>
      </c>
      <c r="AJ33" s="26" t="n">
        <v>0</v>
      </c>
      <c r="AK33" s="26" t="n">
        <v>0</v>
      </c>
      <c r="AL33" s="26" t="n">
        <v>0</v>
      </c>
      <c r="AM33" s="26" t="n">
        <v>0</v>
      </c>
      <c r="AN33" s="26" t="n">
        <v>0</v>
      </c>
      <c r="AO33" s="26" t="n">
        <v>0</v>
      </c>
      <c r="AP33" s="26" t="n">
        <v>0</v>
      </c>
      <c r="AQ33" s="26" t="n">
        <v>0</v>
      </c>
      <c r="AR33" s="26" t="n">
        <v>0</v>
      </c>
      <c r="AS33" s="26" t="n">
        <v>0</v>
      </c>
      <c r="AT33" s="26" t="n">
        <v>0</v>
      </c>
    </row>
    <row r="34" ht="15.75" customHeight="1">
      <c r="A34" s="23" t="inlineStr">
        <is>
          <t>TA 4.4 – Realizando el diagrama de despliegue inicial</t>
        </is>
      </c>
      <c r="B34" s="24" t="inlineStr">
        <is>
          <t>Roberto Seguel</t>
        </is>
      </c>
      <c r="C34" s="25" t="inlineStr">
        <is>
          <t>Incremento 1</t>
        </is>
      </c>
      <c r="D34" s="26">
        <f>Planificación!H33</f>
        <v/>
      </c>
      <c r="E34" s="26" t="n">
        <v>4</v>
      </c>
      <c r="F34" s="26" t="n">
        <v>4</v>
      </c>
      <c r="G34" s="26" t="n">
        <v>4</v>
      </c>
      <c r="H34" s="26" t="n">
        <v>4</v>
      </c>
      <c r="I34" s="26" t="n">
        <v>4</v>
      </c>
      <c r="J34" s="26" t="n">
        <v>4</v>
      </c>
      <c r="K34" s="26" t="n">
        <v>4</v>
      </c>
      <c r="L34" s="26" t="n">
        <v>4</v>
      </c>
      <c r="M34" s="26" t="n">
        <v>4</v>
      </c>
      <c r="N34" s="26" t="n">
        <v>4</v>
      </c>
      <c r="O34" s="26" t="n">
        <v>4</v>
      </c>
      <c r="P34" s="26" t="n">
        <v>4</v>
      </c>
      <c r="Q34" s="26" t="n">
        <v>4</v>
      </c>
      <c r="R34" s="26" t="n">
        <v>2</v>
      </c>
      <c r="S34" s="26" t="n">
        <v>0</v>
      </c>
      <c r="T34" s="26" t="n">
        <v>0</v>
      </c>
      <c r="U34" s="26" t="n">
        <v>0</v>
      </c>
      <c r="V34" s="26" t="n">
        <v>0</v>
      </c>
      <c r="W34" s="26" t="n">
        <v>0</v>
      </c>
      <c r="X34" s="26" t="n">
        <v>0</v>
      </c>
      <c r="Y34" s="26" t="n">
        <v>0</v>
      </c>
      <c r="Z34" s="26" t="n">
        <v>0</v>
      </c>
      <c r="AA34" s="26" t="n">
        <v>0</v>
      </c>
      <c r="AB34" s="26" t="n">
        <v>0</v>
      </c>
      <c r="AC34" s="26" t="n">
        <v>0</v>
      </c>
      <c r="AD34" s="26" t="n">
        <v>0</v>
      </c>
      <c r="AE34" s="26" t="n">
        <v>0</v>
      </c>
      <c r="AF34" s="26" t="n">
        <v>0</v>
      </c>
      <c r="AG34" s="26" t="n">
        <v>0</v>
      </c>
      <c r="AH34" s="26" t="n">
        <v>0</v>
      </c>
      <c r="AI34" s="26" t="n">
        <v>0</v>
      </c>
      <c r="AJ34" s="26" t="n">
        <v>0</v>
      </c>
      <c r="AK34" s="26" t="n">
        <v>0</v>
      </c>
      <c r="AL34" s="26" t="n">
        <v>0</v>
      </c>
      <c r="AM34" s="26" t="n">
        <v>0</v>
      </c>
      <c r="AN34" s="26" t="n">
        <v>0</v>
      </c>
      <c r="AO34" s="26" t="n">
        <v>0</v>
      </c>
      <c r="AP34" s="26" t="n">
        <v>0</v>
      </c>
      <c r="AQ34" s="26" t="n">
        <v>0</v>
      </c>
      <c r="AR34" s="26" t="n">
        <v>0</v>
      </c>
      <c r="AS34" s="26" t="n">
        <v>0</v>
      </c>
      <c r="AT34" s="26" t="n">
        <v>0</v>
      </c>
    </row>
    <row r="35" ht="15.75" customHeight="1">
      <c r="A35" s="23" t="inlineStr">
        <is>
          <t>TA 4.5 – Redactando el informe del Incremento 1</t>
        </is>
      </c>
      <c r="B35" s="24" t="inlineStr">
        <is>
          <t>Roberto Seguel</t>
        </is>
      </c>
      <c r="C35" s="25" t="inlineStr">
        <is>
          <t>Incremento 1</t>
        </is>
      </c>
      <c r="D35" s="26">
        <f>Planificación!H34</f>
        <v/>
      </c>
      <c r="E35" s="26" t="n">
        <v>8</v>
      </c>
      <c r="F35" s="26" t="n">
        <v>8</v>
      </c>
      <c r="G35" s="26" t="n">
        <v>8</v>
      </c>
      <c r="H35" s="26" t="n">
        <v>8</v>
      </c>
      <c r="I35" s="26" t="n">
        <v>8</v>
      </c>
      <c r="J35" s="26" t="n">
        <v>8</v>
      </c>
      <c r="K35" s="26" t="n">
        <v>8</v>
      </c>
      <c r="L35" s="26" t="n">
        <v>8</v>
      </c>
      <c r="M35" s="26" t="n">
        <v>8</v>
      </c>
      <c r="N35" s="26" t="n">
        <v>8</v>
      </c>
      <c r="O35" s="26" t="n">
        <v>8</v>
      </c>
      <c r="P35" s="26" t="n">
        <v>8</v>
      </c>
      <c r="Q35" s="26" t="n">
        <v>8</v>
      </c>
      <c r="R35" s="26" t="n">
        <v>8</v>
      </c>
      <c r="S35" s="26" t="n">
        <v>6</v>
      </c>
      <c r="T35" s="26" t="n">
        <v>5</v>
      </c>
      <c r="U35" s="26" t="n">
        <v>3</v>
      </c>
      <c r="V35" s="26" t="n">
        <v>2</v>
      </c>
      <c r="W35" s="26" t="n">
        <v>0</v>
      </c>
      <c r="X35" s="26" t="n">
        <v>0</v>
      </c>
      <c r="Y35" s="26" t="n">
        <v>0</v>
      </c>
      <c r="Z35" s="26" t="n">
        <v>0</v>
      </c>
      <c r="AA35" s="26" t="n">
        <v>0</v>
      </c>
      <c r="AB35" s="26" t="n">
        <v>0</v>
      </c>
      <c r="AC35" s="26" t="n">
        <v>0</v>
      </c>
      <c r="AD35" s="26" t="n">
        <v>0</v>
      </c>
      <c r="AE35" s="26" t="n">
        <v>0</v>
      </c>
      <c r="AF35" s="26" t="n">
        <v>0</v>
      </c>
      <c r="AG35" s="26" t="n">
        <v>0</v>
      </c>
      <c r="AH35" s="26" t="n">
        <v>0</v>
      </c>
      <c r="AI35" s="26" t="n">
        <v>0</v>
      </c>
      <c r="AJ35" s="26" t="n">
        <v>0</v>
      </c>
      <c r="AK35" s="26" t="n">
        <v>0</v>
      </c>
      <c r="AL35" s="26" t="n">
        <v>0</v>
      </c>
      <c r="AM35" s="26" t="n">
        <v>0</v>
      </c>
      <c r="AN35" s="26" t="n">
        <v>0</v>
      </c>
      <c r="AO35" s="26" t="n">
        <v>0</v>
      </c>
      <c r="AP35" s="26" t="n">
        <v>0</v>
      </c>
      <c r="AQ35" s="26" t="n">
        <v>0</v>
      </c>
      <c r="AR35" s="26" t="n">
        <v>0</v>
      </c>
      <c r="AS35" s="26" t="n">
        <v>0</v>
      </c>
      <c r="AT35" s="26" t="n">
        <v>0</v>
      </c>
    </row>
    <row r="36" ht="15.75" customHeight="1">
      <c r="A36" s="23" t="inlineStr">
        <is>
          <t>TA 4.6 – Construyendo la tabla de esfuerzo y las gráficas del sprint</t>
        </is>
      </c>
      <c r="B36" s="24" t="inlineStr">
        <is>
          <t>Roberto Seguel</t>
        </is>
      </c>
      <c r="C36" s="25" t="inlineStr">
        <is>
          <t>Incremento 1</t>
        </is>
      </c>
      <c r="D36" s="26">
        <f>Planificación!H35</f>
        <v/>
      </c>
      <c r="E36" s="26" t="n">
        <v>4</v>
      </c>
      <c r="F36" s="26" t="n">
        <v>4</v>
      </c>
      <c r="G36" s="26" t="n">
        <v>4</v>
      </c>
      <c r="H36" s="26" t="n">
        <v>4</v>
      </c>
      <c r="I36" s="26" t="n">
        <v>4</v>
      </c>
      <c r="J36" s="26" t="n">
        <v>4</v>
      </c>
      <c r="K36" s="26" t="n">
        <v>4</v>
      </c>
      <c r="L36" s="26" t="n">
        <v>4</v>
      </c>
      <c r="M36" s="26" t="n">
        <v>4</v>
      </c>
      <c r="N36" s="26" t="n">
        <v>4</v>
      </c>
      <c r="O36" s="26" t="n">
        <v>4</v>
      </c>
      <c r="P36" s="26" t="n">
        <v>4</v>
      </c>
      <c r="Q36" s="26" t="n">
        <v>4</v>
      </c>
      <c r="R36" s="26" t="n">
        <v>4</v>
      </c>
      <c r="S36" s="26" t="n">
        <v>4</v>
      </c>
      <c r="T36" s="26" t="n">
        <v>4</v>
      </c>
      <c r="U36" s="26" t="n">
        <v>4</v>
      </c>
      <c r="V36" s="26" t="n">
        <v>2</v>
      </c>
      <c r="W36" s="26" t="n">
        <v>0</v>
      </c>
      <c r="X36" s="26" t="n">
        <v>0</v>
      </c>
      <c r="Y36" s="26" t="n">
        <v>0</v>
      </c>
      <c r="Z36" s="26" t="n">
        <v>0</v>
      </c>
      <c r="AA36" s="26" t="n">
        <v>0</v>
      </c>
      <c r="AB36" s="26" t="n">
        <v>0</v>
      </c>
      <c r="AC36" s="26" t="n">
        <v>0</v>
      </c>
      <c r="AD36" s="26" t="n">
        <v>0</v>
      </c>
      <c r="AE36" s="26" t="n">
        <v>0</v>
      </c>
      <c r="AF36" s="26" t="n">
        <v>0</v>
      </c>
      <c r="AG36" s="26" t="n">
        <v>0</v>
      </c>
      <c r="AH36" s="26" t="n">
        <v>0</v>
      </c>
      <c r="AI36" s="26" t="n">
        <v>0</v>
      </c>
      <c r="AJ36" s="26" t="n">
        <v>0</v>
      </c>
      <c r="AK36" s="26" t="n">
        <v>0</v>
      </c>
      <c r="AL36" s="26" t="n">
        <v>0</v>
      </c>
      <c r="AM36" s="26" t="n">
        <v>0</v>
      </c>
      <c r="AN36" s="26" t="n">
        <v>0</v>
      </c>
      <c r="AO36" s="26" t="n">
        <v>0</v>
      </c>
      <c r="AP36" s="26" t="n">
        <v>0</v>
      </c>
      <c r="AQ36" s="26" t="n">
        <v>0</v>
      </c>
      <c r="AR36" s="26" t="n">
        <v>0</v>
      </c>
      <c r="AS36" s="26" t="n">
        <v>0</v>
      </c>
      <c r="AT36" s="26" t="n">
        <v>0</v>
      </c>
    </row>
    <row r="37" ht="15.75" customHeight="1">
      <c r="A37" s="23" t="inlineStr">
        <is>
          <t>TA 5.1 – Ejecutando las pruebas de caja negra de los casos de uso del incremento</t>
        </is>
      </c>
      <c r="B37" s="24" t="inlineStr">
        <is>
          <t>Josué Barrera</t>
        </is>
      </c>
      <c r="C37" s="25" t="inlineStr">
        <is>
          <t>Incremento 1</t>
        </is>
      </c>
      <c r="D37" s="26">
        <f>Planificación!H37</f>
        <v/>
      </c>
      <c r="E37" s="26" t="n">
        <v>6</v>
      </c>
      <c r="F37" s="26" t="n">
        <v>6</v>
      </c>
      <c r="G37" s="26" t="n">
        <v>6</v>
      </c>
      <c r="H37" s="26" t="n">
        <v>6</v>
      </c>
      <c r="I37" s="26" t="n">
        <v>6</v>
      </c>
      <c r="J37" s="26" t="n">
        <v>6</v>
      </c>
      <c r="K37" s="26" t="n">
        <v>6</v>
      </c>
      <c r="L37" s="26" t="n">
        <v>6</v>
      </c>
      <c r="M37" s="26" t="n">
        <v>6</v>
      </c>
      <c r="N37" s="26" t="n">
        <v>6</v>
      </c>
      <c r="O37" s="26" t="n">
        <v>6</v>
      </c>
      <c r="P37" s="26" t="n">
        <v>6</v>
      </c>
      <c r="Q37" s="26" t="n">
        <v>6</v>
      </c>
      <c r="R37" s="26" t="n">
        <v>6</v>
      </c>
      <c r="S37" s="26" t="n">
        <v>6</v>
      </c>
      <c r="T37" s="26" t="n">
        <v>6</v>
      </c>
      <c r="U37" s="26" t="n">
        <v>4</v>
      </c>
      <c r="V37" s="26" t="n">
        <v>2</v>
      </c>
      <c r="W37" s="26" t="n">
        <v>0</v>
      </c>
      <c r="X37" s="26" t="n">
        <v>0</v>
      </c>
      <c r="Y37" s="26" t="n">
        <v>0</v>
      </c>
      <c r="Z37" s="26" t="n">
        <v>0</v>
      </c>
      <c r="AA37" s="26" t="n">
        <v>0</v>
      </c>
      <c r="AB37" s="26" t="n">
        <v>0</v>
      </c>
      <c r="AC37" s="26" t="n">
        <v>0</v>
      </c>
      <c r="AD37" s="26" t="n">
        <v>0</v>
      </c>
      <c r="AE37" s="26" t="n">
        <v>0</v>
      </c>
      <c r="AF37" s="26" t="n">
        <v>0</v>
      </c>
      <c r="AG37" s="26" t="n">
        <v>0</v>
      </c>
      <c r="AH37" s="26" t="n">
        <v>0</v>
      </c>
      <c r="AI37" s="26" t="n">
        <v>0</v>
      </c>
      <c r="AJ37" s="26" t="n">
        <v>0</v>
      </c>
      <c r="AK37" s="26" t="n">
        <v>0</v>
      </c>
      <c r="AL37" s="26" t="n">
        <v>0</v>
      </c>
      <c r="AM37" s="26" t="n">
        <v>0</v>
      </c>
      <c r="AN37" s="26" t="n">
        <v>0</v>
      </c>
      <c r="AO37" s="26" t="n">
        <v>0</v>
      </c>
      <c r="AP37" s="26" t="n">
        <v>0</v>
      </c>
      <c r="AQ37" s="26" t="n">
        <v>0</v>
      </c>
      <c r="AR37" s="26" t="n">
        <v>0</v>
      </c>
      <c r="AS37" s="26" t="n">
        <v>0</v>
      </c>
      <c r="AT37" s="26" t="n">
        <v>0</v>
      </c>
    </row>
    <row r="38" ht="15.75" customHeight="1">
      <c r="A38" s="23" t="inlineStr">
        <is>
          <t>TA 5.2 – Documentando los casos de prueba y su evidencia</t>
        </is>
      </c>
      <c r="B38" s="24" t="inlineStr">
        <is>
          <t>Roberto Seguel</t>
        </is>
      </c>
      <c r="C38" s="25" t="inlineStr">
        <is>
          <t>Incremento 1</t>
        </is>
      </c>
      <c r="D38" s="26">
        <f>Planificación!H38</f>
        <v/>
      </c>
      <c r="E38" s="26" t="n">
        <v>4</v>
      </c>
      <c r="F38" s="26" t="n">
        <v>4</v>
      </c>
      <c r="G38" s="26" t="n">
        <v>4</v>
      </c>
      <c r="H38" s="26" t="n">
        <v>4</v>
      </c>
      <c r="I38" s="26" t="n">
        <v>4</v>
      </c>
      <c r="J38" s="26" t="n">
        <v>4</v>
      </c>
      <c r="K38" s="26" t="n">
        <v>4</v>
      </c>
      <c r="L38" s="26" t="n">
        <v>4</v>
      </c>
      <c r="M38" s="26" t="n">
        <v>4</v>
      </c>
      <c r="N38" s="26" t="n">
        <v>4</v>
      </c>
      <c r="O38" s="26" t="n">
        <v>4</v>
      </c>
      <c r="P38" s="26" t="n">
        <v>4</v>
      </c>
      <c r="Q38" s="26" t="n">
        <v>4</v>
      </c>
      <c r="R38" s="26" t="n">
        <v>4</v>
      </c>
      <c r="S38" s="26" t="n">
        <v>4</v>
      </c>
      <c r="T38" s="26" t="n">
        <v>4</v>
      </c>
      <c r="U38" s="26" t="n">
        <v>4</v>
      </c>
      <c r="V38" s="26" t="n">
        <v>3</v>
      </c>
      <c r="W38" s="26" t="n">
        <v>1</v>
      </c>
      <c r="X38" s="26" t="n">
        <v>0</v>
      </c>
      <c r="Y38" s="26" t="n">
        <v>0</v>
      </c>
      <c r="Z38" s="26" t="n">
        <v>0</v>
      </c>
      <c r="AA38" s="26" t="n">
        <v>0</v>
      </c>
      <c r="AB38" s="26" t="n">
        <v>0</v>
      </c>
      <c r="AC38" s="26" t="n">
        <v>0</v>
      </c>
      <c r="AD38" s="26" t="n">
        <v>0</v>
      </c>
      <c r="AE38" s="26" t="n">
        <v>0</v>
      </c>
      <c r="AF38" s="26" t="n">
        <v>0</v>
      </c>
      <c r="AG38" s="26" t="n">
        <v>0</v>
      </c>
      <c r="AH38" s="26" t="n">
        <v>0</v>
      </c>
      <c r="AI38" s="26" t="n">
        <v>0</v>
      </c>
      <c r="AJ38" s="26" t="n">
        <v>0</v>
      </c>
      <c r="AK38" s="26" t="n">
        <v>0</v>
      </c>
      <c r="AL38" s="26" t="n">
        <v>0</v>
      </c>
      <c r="AM38" s="26" t="n">
        <v>0</v>
      </c>
      <c r="AN38" s="26" t="n">
        <v>0</v>
      </c>
      <c r="AO38" s="26" t="n">
        <v>0</v>
      </c>
      <c r="AP38" s="26" t="n">
        <v>0</v>
      </c>
      <c r="AQ38" s="26" t="n">
        <v>0</v>
      </c>
      <c r="AR38" s="26" t="n">
        <v>0</v>
      </c>
      <c r="AS38" s="26" t="n">
        <v>0</v>
      </c>
      <c r="AT38" s="26" t="n">
        <v>0</v>
      </c>
    </row>
    <row r="39" ht="15.75" customHeight="1">
      <c r="A39" s="23" t="inlineStr">
        <is>
          <t>TA 5.3 – Corrigiendo los hallazgos levantados en las pruebas</t>
        </is>
      </c>
      <c r="B39" s="24" t="inlineStr">
        <is>
          <t>Josué Barrera</t>
        </is>
      </c>
      <c r="C39" s="25" t="inlineStr">
        <is>
          <t>Incremento 1</t>
        </is>
      </c>
      <c r="D39" s="26">
        <f>Planificación!H39</f>
        <v/>
      </c>
      <c r="E39" s="26" t="n">
        <v>4</v>
      </c>
      <c r="F39" s="26" t="n">
        <v>4</v>
      </c>
      <c r="G39" s="26" t="n">
        <v>4</v>
      </c>
      <c r="H39" s="26" t="n">
        <v>4</v>
      </c>
      <c r="I39" s="26" t="n">
        <v>4</v>
      </c>
      <c r="J39" s="26" t="n">
        <v>4</v>
      </c>
      <c r="K39" s="26" t="n">
        <v>4</v>
      </c>
      <c r="L39" s="26" t="n">
        <v>4</v>
      </c>
      <c r="M39" s="26" t="n">
        <v>4</v>
      </c>
      <c r="N39" s="26" t="n">
        <v>4</v>
      </c>
      <c r="O39" s="26" t="n">
        <v>4</v>
      </c>
      <c r="P39" s="26" t="n">
        <v>4</v>
      </c>
      <c r="Q39" s="26" t="n">
        <v>4</v>
      </c>
      <c r="R39" s="26" t="n">
        <v>4</v>
      </c>
      <c r="S39" s="26" t="n">
        <v>4</v>
      </c>
      <c r="T39" s="26" t="n">
        <v>4</v>
      </c>
      <c r="U39" s="26" t="n">
        <v>4</v>
      </c>
      <c r="V39" s="26" t="n">
        <v>4</v>
      </c>
      <c r="W39" s="26" t="n">
        <v>3</v>
      </c>
      <c r="X39" s="26" t="n">
        <v>1</v>
      </c>
      <c r="Y39" s="26" t="n">
        <v>0</v>
      </c>
      <c r="Z39" s="26" t="n">
        <v>0</v>
      </c>
      <c r="AA39" s="26" t="n">
        <v>0</v>
      </c>
      <c r="AB39" s="26" t="n">
        <v>0</v>
      </c>
      <c r="AC39" s="26" t="n">
        <v>0</v>
      </c>
      <c r="AD39" s="26" t="n">
        <v>0</v>
      </c>
      <c r="AE39" s="26" t="n">
        <v>0</v>
      </c>
      <c r="AF39" s="26" t="n">
        <v>0</v>
      </c>
      <c r="AG39" s="26" t="n">
        <v>0</v>
      </c>
      <c r="AH39" s="26" t="n">
        <v>0</v>
      </c>
      <c r="AI39" s="26" t="n">
        <v>0</v>
      </c>
      <c r="AJ39" s="26" t="n">
        <v>0</v>
      </c>
      <c r="AK39" s="26" t="n">
        <v>0</v>
      </c>
      <c r="AL39" s="26" t="n">
        <v>0</v>
      </c>
      <c r="AM39" s="26" t="n">
        <v>0</v>
      </c>
      <c r="AN39" s="26" t="n">
        <v>0</v>
      </c>
      <c r="AO39" s="26" t="n">
        <v>0</v>
      </c>
      <c r="AP39" s="26" t="n">
        <v>0</v>
      </c>
      <c r="AQ39" s="26" t="n">
        <v>0</v>
      </c>
      <c r="AR39" s="26" t="n">
        <v>0</v>
      </c>
      <c r="AS39" s="26" t="n">
        <v>0</v>
      </c>
      <c r="AT39" s="26" t="n">
        <v>0</v>
      </c>
    </row>
    <row r="40" ht="15.75" customHeight="1">
      <c r="A40" s="46" t="inlineStr">
        <is>
          <t>SPRINT 2 · INCREMENTO 2 (52 tareas)</t>
        </is>
      </c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  <c r="O40" s="42" t="n"/>
      <c r="P40" s="42" t="n"/>
      <c r="Q40" s="42" t="n"/>
      <c r="R40" s="42" t="n"/>
      <c r="S40" s="42" t="n"/>
      <c r="T40" s="42" t="n"/>
      <c r="U40" s="42" t="n"/>
      <c r="V40" s="42" t="n"/>
      <c r="W40" s="42" t="n"/>
      <c r="X40" s="42" t="n"/>
      <c r="Y40" s="42" t="n"/>
      <c r="Z40" s="42" t="n"/>
      <c r="AA40" s="42" t="n"/>
      <c r="AB40" s="42" t="n"/>
      <c r="AC40" s="42" t="n"/>
      <c r="AD40" s="42" t="n"/>
      <c r="AE40" s="42" t="n"/>
      <c r="AF40" s="42" t="n"/>
      <c r="AG40" s="42" t="n"/>
      <c r="AH40" s="42" t="n"/>
      <c r="AI40" s="42" t="n"/>
      <c r="AJ40" s="42" t="n"/>
      <c r="AK40" s="42" t="n"/>
      <c r="AL40" s="42" t="n"/>
      <c r="AM40" s="42" t="n"/>
      <c r="AN40" s="42" t="n"/>
      <c r="AO40" s="42" t="n"/>
      <c r="AP40" s="42" t="n"/>
      <c r="AQ40" s="42" t="n"/>
      <c r="AR40" s="42" t="n"/>
      <c r="AS40" s="42" t="n"/>
      <c r="AT40" s="42" t="n"/>
      <c r="AU40" s="42" t="n"/>
      <c r="AV40" s="42" t="n"/>
      <c r="AW40" s="42" t="n"/>
      <c r="AX40" s="42" t="n"/>
      <c r="AY40" s="42" t="n"/>
      <c r="AZ40" s="42" t="n"/>
      <c r="BA40" s="42" t="n"/>
      <c r="BB40" s="42" t="n"/>
      <c r="BC40" s="42" t="n"/>
      <c r="BD40" s="42" t="n"/>
      <c r="BE40" s="42" t="n"/>
      <c r="BF40" s="42" t="n"/>
      <c r="BG40" s="42" t="n"/>
      <c r="BH40" s="42" t="n"/>
      <c r="BI40" s="42" t="n"/>
      <c r="BJ40" s="42" t="n"/>
      <c r="BK40" s="42" t="n"/>
      <c r="BL40" s="42" t="n"/>
      <c r="BM40" s="42" t="n"/>
    </row>
    <row r="41" ht="15.75" customHeight="1">
      <c r="A41" s="23" t="inlineStr">
        <is>
          <t>TA 1.1 – Montando la máquina virtual Ubuntu Server en el servidor HP ProLiant DL20</t>
        </is>
      </c>
      <c r="B41" s="24" t="inlineStr">
        <is>
          <t>Matías Medina</t>
        </is>
      </c>
      <c r="C41" s="31" t="inlineStr">
        <is>
          <t>Incremento 2</t>
        </is>
      </c>
      <c r="D41" s="26">
        <f>Planificación!H43</f>
        <v/>
      </c>
      <c r="E41" s="26" t="n">
        <v>6</v>
      </c>
      <c r="F41" s="26" t="n">
        <v>6</v>
      </c>
      <c r="G41" s="26" t="n">
        <v>6</v>
      </c>
      <c r="H41" s="26" t="n">
        <v>6</v>
      </c>
      <c r="I41" s="26" t="n">
        <v>6</v>
      </c>
      <c r="J41" s="26" t="n">
        <v>6</v>
      </c>
      <c r="K41" s="26" t="n">
        <v>6</v>
      </c>
      <c r="L41" s="26" t="n">
        <v>6</v>
      </c>
      <c r="M41" s="26" t="n">
        <v>6</v>
      </c>
      <c r="N41" s="26" t="n">
        <v>6</v>
      </c>
      <c r="O41" s="26" t="n">
        <v>6</v>
      </c>
      <c r="P41" s="26" t="n">
        <v>6</v>
      </c>
      <c r="Q41" s="26" t="n">
        <v>6</v>
      </c>
      <c r="R41" s="26" t="n">
        <v>6</v>
      </c>
      <c r="S41" s="26" t="n">
        <v>6</v>
      </c>
      <c r="T41" s="26" t="n">
        <v>6</v>
      </c>
      <c r="U41" s="26" t="n">
        <v>6</v>
      </c>
      <c r="V41" s="26" t="n">
        <v>6</v>
      </c>
      <c r="W41" s="26" t="n">
        <v>6</v>
      </c>
      <c r="X41" s="26" t="n">
        <v>6</v>
      </c>
      <c r="Y41" s="26" t="n">
        <v>6</v>
      </c>
      <c r="Z41" s="26" t="n">
        <v>3</v>
      </c>
      <c r="AA41" s="26" t="n">
        <v>0</v>
      </c>
      <c r="AB41" s="26" t="n">
        <v>0</v>
      </c>
      <c r="AC41" s="26" t="n">
        <v>0</v>
      </c>
      <c r="AD41" s="26" t="n">
        <v>0</v>
      </c>
      <c r="AE41" s="26" t="n">
        <v>0</v>
      </c>
      <c r="AF41" s="26" t="n">
        <v>0</v>
      </c>
      <c r="AG41" s="26" t="n">
        <v>0</v>
      </c>
      <c r="AH41" s="26" t="n">
        <v>0</v>
      </c>
      <c r="AI41" s="26" t="n">
        <v>0</v>
      </c>
      <c r="AJ41" s="26" t="n">
        <v>0</v>
      </c>
      <c r="AK41" s="26" t="n">
        <v>0</v>
      </c>
      <c r="AL41" s="26" t="n">
        <v>0</v>
      </c>
      <c r="AM41" s="26" t="n">
        <v>0</v>
      </c>
      <c r="AN41" s="26" t="n">
        <v>0</v>
      </c>
      <c r="AO41" s="26" t="n">
        <v>0</v>
      </c>
      <c r="AP41" s="26" t="n">
        <v>0</v>
      </c>
      <c r="AQ41" s="26" t="n">
        <v>0</v>
      </c>
      <c r="AR41" s="26" t="n">
        <v>0</v>
      </c>
      <c r="AS41" s="26" t="n">
        <v>0</v>
      </c>
      <c r="AT41" s="26" t="n">
        <v>0</v>
      </c>
    </row>
    <row r="42" ht="15.75" customHeight="1">
      <c r="A42" s="23" t="inlineStr">
        <is>
          <t>TA 1.2 – Configurando el acceso del servidor a través del firewall Fortinet 30E</t>
        </is>
      </c>
      <c r="B42" s="24" t="inlineStr">
        <is>
          <t>Matías Medina</t>
        </is>
      </c>
      <c r="C42" s="31" t="inlineStr">
        <is>
          <t>Incremento 2</t>
        </is>
      </c>
      <c r="D42" s="26">
        <f>Planificación!H44</f>
        <v/>
      </c>
      <c r="E42" s="26" t="n">
        <v>6</v>
      </c>
      <c r="F42" s="26" t="n">
        <v>6</v>
      </c>
      <c r="G42" s="26" t="n">
        <v>6</v>
      </c>
      <c r="H42" s="26" t="n">
        <v>6</v>
      </c>
      <c r="I42" s="26" t="n">
        <v>6</v>
      </c>
      <c r="J42" s="26" t="n">
        <v>6</v>
      </c>
      <c r="K42" s="26" t="n">
        <v>6</v>
      </c>
      <c r="L42" s="26" t="n">
        <v>6</v>
      </c>
      <c r="M42" s="26" t="n">
        <v>6</v>
      </c>
      <c r="N42" s="26" t="n">
        <v>6</v>
      </c>
      <c r="O42" s="26" t="n">
        <v>6</v>
      </c>
      <c r="P42" s="26" t="n">
        <v>6</v>
      </c>
      <c r="Q42" s="26" t="n">
        <v>6</v>
      </c>
      <c r="R42" s="26" t="n">
        <v>6</v>
      </c>
      <c r="S42" s="26" t="n">
        <v>6</v>
      </c>
      <c r="T42" s="26" t="n">
        <v>6</v>
      </c>
      <c r="U42" s="26" t="n">
        <v>6</v>
      </c>
      <c r="V42" s="26" t="n">
        <v>6</v>
      </c>
      <c r="W42" s="26" t="n">
        <v>6</v>
      </c>
      <c r="X42" s="26" t="n">
        <v>6</v>
      </c>
      <c r="Y42" s="26" t="n">
        <v>6</v>
      </c>
      <c r="Z42" s="26" t="n">
        <v>3</v>
      </c>
      <c r="AA42" s="26" t="n">
        <v>0</v>
      </c>
      <c r="AB42" s="26" t="n">
        <v>0</v>
      </c>
      <c r="AC42" s="26" t="n">
        <v>0</v>
      </c>
      <c r="AD42" s="26" t="n">
        <v>0</v>
      </c>
      <c r="AE42" s="26" t="n">
        <v>0</v>
      </c>
      <c r="AF42" s="26" t="n">
        <v>0</v>
      </c>
      <c r="AG42" s="26" t="n">
        <v>0</v>
      </c>
      <c r="AH42" s="26" t="n">
        <v>0</v>
      </c>
      <c r="AI42" s="26" t="n">
        <v>0</v>
      </c>
      <c r="AJ42" s="26" t="n">
        <v>0</v>
      </c>
      <c r="AK42" s="26" t="n">
        <v>0</v>
      </c>
      <c r="AL42" s="26" t="n">
        <v>0</v>
      </c>
      <c r="AM42" s="26" t="n">
        <v>0</v>
      </c>
      <c r="AN42" s="26" t="n">
        <v>0</v>
      </c>
      <c r="AO42" s="26" t="n">
        <v>0</v>
      </c>
      <c r="AP42" s="26" t="n">
        <v>0</v>
      </c>
      <c r="AQ42" s="26" t="n">
        <v>0</v>
      </c>
      <c r="AR42" s="26" t="n">
        <v>0</v>
      </c>
      <c r="AS42" s="26" t="n">
        <v>0</v>
      </c>
      <c r="AT42" s="26" t="n">
        <v>0</v>
      </c>
    </row>
    <row r="43" ht="15.75" customHeight="1">
      <c r="A43" s="23" t="inlineStr">
        <is>
          <t>TA 1.3 – Instalando y configurando PostgreSQL en la máquina virtual</t>
        </is>
      </c>
      <c r="B43" s="24" t="inlineStr">
        <is>
          <t>Cristóbal López</t>
        </is>
      </c>
      <c r="C43" s="31" t="inlineStr">
        <is>
          <t>Incremento 2</t>
        </is>
      </c>
      <c r="D43" s="26">
        <f>Planificación!H45</f>
        <v/>
      </c>
      <c r="E43" s="26" t="n">
        <v>6</v>
      </c>
      <c r="F43" s="26" t="n">
        <v>6</v>
      </c>
      <c r="G43" s="26" t="n">
        <v>6</v>
      </c>
      <c r="H43" s="26" t="n">
        <v>6</v>
      </c>
      <c r="I43" s="26" t="n">
        <v>6</v>
      </c>
      <c r="J43" s="26" t="n">
        <v>6</v>
      </c>
      <c r="K43" s="26" t="n">
        <v>6</v>
      </c>
      <c r="L43" s="26" t="n">
        <v>6</v>
      </c>
      <c r="M43" s="26" t="n">
        <v>6</v>
      </c>
      <c r="N43" s="26" t="n">
        <v>6</v>
      </c>
      <c r="O43" s="26" t="n">
        <v>6</v>
      </c>
      <c r="P43" s="26" t="n">
        <v>6</v>
      </c>
      <c r="Q43" s="26" t="n">
        <v>6</v>
      </c>
      <c r="R43" s="26" t="n">
        <v>6</v>
      </c>
      <c r="S43" s="26" t="n">
        <v>6</v>
      </c>
      <c r="T43" s="26" t="n">
        <v>6</v>
      </c>
      <c r="U43" s="26" t="n">
        <v>6</v>
      </c>
      <c r="V43" s="26" t="n">
        <v>6</v>
      </c>
      <c r="W43" s="26" t="n">
        <v>6</v>
      </c>
      <c r="X43" s="26" t="n">
        <v>6</v>
      </c>
      <c r="Y43" s="26" t="n">
        <v>6</v>
      </c>
      <c r="Z43" s="26" t="n">
        <v>6</v>
      </c>
      <c r="AA43" s="26" t="n">
        <v>3</v>
      </c>
      <c r="AB43" s="26" t="n">
        <v>0</v>
      </c>
      <c r="AC43" s="26" t="n">
        <v>0</v>
      </c>
      <c r="AD43" s="26" t="n">
        <v>0</v>
      </c>
      <c r="AE43" s="26" t="n">
        <v>0</v>
      </c>
      <c r="AF43" s="26" t="n">
        <v>0</v>
      </c>
      <c r="AG43" s="26" t="n">
        <v>0</v>
      </c>
      <c r="AH43" s="26" t="n">
        <v>0</v>
      </c>
      <c r="AI43" s="26" t="n">
        <v>0</v>
      </c>
      <c r="AJ43" s="26" t="n">
        <v>0</v>
      </c>
      <c r="AK43" s="26" t="n">
        <v>0</v>
      </c>
      <c r="AL43" s="26" t="n">
        <v>0</v>
      </c>
      <c r="AM43" s="26" t="n">
        <v>0</v>
      </c>
      <c r="AN43" s="26" t="n">
        <v>0</v>
      </c>
      <c r="AO43" s="26" t="n">
        <v>0</v>
      </c>
      <c r="AP43" s="26" t="n">
        <v>0</v>
      </c>
      <c r="AQ43" s="26" t="n">
        <v>0</v>
      </c>
      <c r="AR43" s="26" t="n">
        <v>0</v>
      </c>
      <c r="AS43" s="26" t="n">
        <v>0</v>
      </c>
      <c r="AT43" s="26" t="n">
        <v>0</v>
      </c>
    </row>
    <row r="44" ht="15.75" customHeight="1">
      <c r="A44" s="23" t="inlineStr">
        <is>
          <t>TA 1.4 – Configurando el entorno Django y las variables de despliegue</t>
        </is>
      </c>
      <c r="B44" s="24" t="inlineStr">
        <is>
          <t>Cristóbal López</t>
        </is>
      </c>
      <c r="C44" s="31" t="inlineStr">
        <is>
          <t>Incremento 2</t>
        </is>
      </c>
      <c r="D44" s="26">
        <f>Planificación!H46</f>
        <v/>
      </c>
      <c r="E44" s="26" t="n">
        <v>6</v>
      </c>
      <c r="F44" s="26" t="n">
        <v>6</v>
      </c>
      <c r="G44" s="26" t="n">
        <v>6</v>
      </c>
      <c r="H44" s="26" t="n">
        <v>6</v>
      </c>
      <c r="I44" s="26" t="n">
        <v>6</v>
      </c>
      <c r="J44" s="26" t="n">
        <v>6</v>
      </c>
      <c r="K44" s="26" t="n">
        <v>6</v>
      </c>
      <c r="L44" s="26" t="n">
        <v>6</v>
      </c>
      <c r="M44" s="26" t="n">
        <v>6</v>
      </c>
      <c r="N44" s="26" t="n">
        <v>6</v>
      </c>
      <c r="O44" s="26" t="n">
        <v>6</v>
      </c>
      <c r="P44" s="26" t="n">
        <v>6</v>
      </c>
      <c r="Q44" s="26" t="n">
        <v>6</v>
      </c>
      <c r="R44" s="26" t="n">
        <v>6</v>
      </c>
      <c r="S44" s="26" t="n">
        <v>6</v>
      </c>
      <c r="T44" s="26" t="n">
        <v>6</v>
      </c>
      <c r="U44" s="26" t="n">
        <v>6</v>
      </c>
      <c r="V44" s="26" t="n">
        <v>6</v>
      </c>
      <c r="W44" s="26" t="n">
        <v>6</v>
      </c>
      <c r="X44" s="26" t="n">
        <v>6</v>
      </c>
      <c r="Y44" s="26" t="n">
        <v>6</v>
      </c>
      <c r="Z44" s="26" t="n">
        <v>6</v>
      </c>
      <c r="AA44" s="26" t="n">
        <v>4</v>
      </c>
      <c r="AB44" s="26" t="n">
        <v>2</v>
      </c>
      <c r="AC44" s="26" t="n">
        <v>0</v>
      </c>
      <c r="AD44" s="26" t="n">
        <v>0</v>
      </c>
      <c r="AE44" s="26" t="n">
        <v>0</v>
      </c>
      <c r="AF44" s="26" t="n">
        <v>0</v>
      </c>
      <c r="AG44" s="26" t="n">
        <v>0</v>
      </c>
      <c r="AH44" s="26" t="n">
        <v>0</v>
      </c>
      <c r="AI44" s="26" t="n">
        <v>0</v>
      </c>
      <c r="AJ44" s="26" t="n">
        <v>0</v>
      </c>
      <c r="AK44" s="26" t="n">
        <v>0</v>
      </c>
      <c r="AL44" s="26" t="n">
        <v>0</v>
      </c>
      <c r="AM44" s="26" t="n">
        <v>0</v>
      </c>
      <c r="AN44" s="26" t="n">
        <v>0</v>
      </c>
      <c r="AO44" s="26" t="n">
        <v>0</v>
      </c>
      <c r="AP44" s="26" t="n">
        <v>0</v>
      </c>
      <c r="AQ44" s="26" t="n">
        <v>0</v>
      </c>
      <c r="AR44" s="26" t="n">
        <v>0</v>
      </c>
      <c r="AS44" s="26" t="n">
        <v>0</v>
      </c>
      <c r="AT44" s="26" t="n">
        <v>0</v>
      </c>
    </row>
    <row r="45" ht="15.75" customHeight="1">
      <c r="A45" s="23" t="inlineStr">
        <is>
          <t>TA 1.5 – Publicando el sistema con Gunicorn y WSGI</t>
        </is>
      </c>
      <c r="B45" s="24" t="inlineStr">
        <is>
          <t>Matías Medina</t>
        </is>
      </c>
      <c r="C45" s="31" t="inlineStr">
        <is>
          <t>Incremento 2</t>
        </is>
      </c>
      <c r="D45" s="26">
        <f>Planificación!H47</f>
        <v/>
      </c>
      <c r="E45" s="26" t="n">
        <v>6</v>
      </c>
      <c r="F45" s="26" t="n">
        <v>6</v>
      </c>
      <c r="G45" s="26" t="n">
        <v>6</v>
      </c>
      <c r="H45" s="26" t="n">
        <v>6</v>
      </c>
      <c r="I45" s="26" t="n">
        <v>6</v>
      </c>
      <c r="J45" s="26" t="n">
        <v>6</v>
      </c>
      <c r="K45" s="26" t="n">
        <v>6</v>
      </c>
      <c r="L45" s="26" t="n">
        <v>6</v>
      </c>
      <c r="M45" s="26" t="n">
        <v>6</v>
      </c>
      <c r="N45" s="26" t="n">
        <v>6</v>
      </c>
      <c r="O45" s="26" t="n">
        <v>6</v>
      </c>
      <c r="P45" s="26" t="n">
        <v>6</v>
      </c>
      <c r="Q45" s="26" t="n">
        <v>6</v>
      </c>
      <c r="R45" s="26" t="n">
        <v>6</v>
      </c>
      <c r="S45" s="26" t="n">
        <v>6</v>
      </c>
      <c r="T45" s="26" t="n">
        <v>6</v>
      </c>
      <c r="U45" s="26" t="n">
        <v>6</v>
      </c>
      <c r="V45" s="26" t="n">
        <v>6</v>
      </c>
      <c r="W45" s="26" t="n">
        <v>6</v>
      </c>
      <c r="X45" s="26" t="n">
        <v>6</v>
      </c>
      <c r="Y45" s="26" t="n">
        <v>6</v>
      </c>
      <c r="Z45" s="26" t="n">
        <v>6</v>
      </c>
      <c r="AA45" s="26" t="n">
        <v>6</v>
      </c>
      <c r="AB45" s="26" t="n">
        <v>3</v>
      </c>
      <c r="AC45" s="26" t="n">
        <v>0</v>
      </c>
      <c r="AD45" s="26" t="n">
        <v>0</v>
      </c>
      <c r="AE45" s="26" t="n">
        <v>0</v>
      </c>
      <c r="AF45" s="26" t="n">
        <v>0</v>
      </c>
      <c r="AG45" s="26" t="n">
        <v>0</v>
      </c>
      <c r="AH45" s="26" t="n">
        <v>0</v>
      </c>
      <c r="AI45" s="26" t="n">
        <v>0</v>
      </c>
      <c r="AJ45" s="26" t="n">
        <v>0</v>
      </c>
      <c r="AK45" s="26" t="n">
        <v>0</v>
      </c>
      <c r="AL45" s="26" t="n">
        <v>0</v>
      </c>
      <c r="AM45" s="26" t="n">
        <v>0</v>
      </c>
      <c r="AN45" s="26" t="n">
        <v>0</v>
      </c>
      <c r="AO45" s="26" t="n">
        <v>0</v>
      </c>
      <c r="AP45" s="26" t="n">
        <v>0</v>
      </c>
      <c r="AQ45" s="26" t="n">
        <v>0</v>
      </c>
      <c r="AR45" s="26" t="n">
        <v>0</v>
      </c>
      <c r="AS45" s="26" t="n">
        <v>0</v>
      </c>
      <c r="AT45" s="26" t="n">
        <v>0</v>
      </c>
    </row>
    <row r="46" ht="15.75" customHeight="1">
      <c r="A46" s="23" t="inlineStr">
        <is>
          <t>TA 1.6 – Configurando el respaldo automático de la base de datos</t>
        </is>
      </c>
      <c r="B46" s="24" t="inlineStr">
        <is>
          <t>Cristóbal López</t>
        </is>
      </c>
      <c r="C46" s="31" t="inlineStr">
        <is>
          <t>Incremento 2</t>
        </is>
      </c>
      <c r="D46" s="26">
        <f>Planificación!H48</f>
        <v/>
      </c>
      <c r="E46" s="26" t="n">
        <v>4</v>
      </c>
      <c r="F46" s="26" t="n">
        <v>4</v>
      </c>
      <c r="G46" s="26" t="n">
        <v>4</v>
      </c>
      <c r="H46" s="26" t="n">
        <v>4</v>
      </c>
      <c r="I46" s="26" t="n">
        <v>4</v>
      </c>
      <c r="J46" s="26" t="n">
        <v>4</v>
      </c>
      <c r="K46" s="26" t="n">
        <v>4</v>
      </c>
      <c r="L46" s="26" t="n">
        <v>4</v>
      </c>
      <c r="M46" s="26" t="n">
        <v>4</v>
      </c>
      <c r="N46" s="26" t="n">
        <v>4</v>
      </c>
      <c r="O46" s="26" t="n">
        <v>4</v>
      </c>
      <c r="P46" s="26" t="n">
        <v>4</v>
      </c>
      <c r="Q46" s="26" t="n">
        <v>4</v>
      </c>
      <c r="R46" s="26" t="n">
        <v>4</v>
      </c>
      <c r="S46" s="26" t="n">
        <v>4</v>
      </c>
      <c r="T46" s="26" t="n">
        <v>4</v>
      </c>
      <c r="U46" s="26" t="n">
        <v>4</v>
      </c>
      <c r="V46" s="26" t="n">
        <v>4</v>
      </c>
      <c r="W46" s="26" t="n">
        <v>4</v>
      </c>
      <c r="X46" s="26" t="n">
        <v>4</v>
      </c>
      <c r="Y46" s="26" t="n">
        <v>4</v>
      </c>
      <c r="Z46" s="26" t="n">
        <v>4</v>
      </c>
      <c r="AA46" s="26" t="n">
        <v>4</v>
      </c>
      <c r="AB46" s="26" t="n">
        <v>4</v>
      </c>
      <c r="AC46" s="26" t="n">
        <v>2</v>
      </c>
      <c r="AD46" s="26" t="n">
        <v>0</v>
      </c>
      <c r="AE46" s="26" t="n">
        <v>0</v>
      </c>
      <c r="AF46" s="26" t="n">
        <v>0</v>
      </c>
      <c r="AG46" s="26" t="n">
        <v>0</v>
      </c>
      <c r="AH46" s="26" t="n">
        <v>0</v>
      </c>
      <c r="AI46" s="26" t="n">
        <v>0</v>
      </c>
      <c r="AJ46" s="26" t="n">
        <v>0</v>
      </c>
      <c r="AK46" s="26" t="n">
        <v>0</v>
      </c>
      <c r="AL46" s="26" t="n">
        <v>0</v>
      </c>
      <c r="AM46" s="26" t="n">
        <v>0</v>
      </c>
      <c r="AN46" s="26" t="n">
        <v>0</v>
      </c>
      <c r="AO46" s="26" t="n">
        <v>0</v>
      </c>
      <c r="AP46" s="26" t="n">
        <v>0</v>
      </c>
      <c r="AQ46" s="26" t="n">
        <v>0</v>
      </c>
      <c r="AR46" s="26" t="n">
        <v>0</v>
      </c>
      <c r="AS46" s="26" t="n">
        <v>0</v>
      </c>
      <c r="AT46" s="26" t="n">
        <v>0</v>
      </c>
    </row>
    <row r="47" ht="15.75" customHeight="1">
      <c r="A47" s="23" t="inlineStr">
        <is>
          <t>TA 2.1 – Ampliando el modelo de datos y generando las migraciones</t>
        </is>
      </c>
      <c r="B47" s="24" t="inlineStr">
        <is>
          <t>Matías Medina</t>
        </is>
      </c>
      <c r="C47" s="31" t="inlineStr">
        <is>
          <t>Incremento 2</t>
        </is>
      </c>
      <c r="D47" s="26">
        <f>Planificación!H49</f>
        <v/>
      </c>
      <c r="E47" s="26" t="n">
        <v>6</v>
      </c>
      <c r="F47" s="26" t="n">
        <v>6</v>
      </c>
      <c r="G47" s="26" t="n">
        <v>6</v>
      </c>
      <c r="H47" s="26" t="n">
        <v>6</v>
      </c>
      <c r="I47" s="26" t="n">
        <v>6</v>
      </c>
      <c r="J47" s="26" t="n">
        <v>6</v>
      </c>
      <c r="K47" s="26" t="n">
        <v>6</v>
      </c>
      <c r="L47" s="26" t="n">
        <v>6</v>
      </c>
      <c r="M47" s="26" t="n">
        <v>6</v>
      </c>
      <c r="N47" s="26" t="n">
        <v>6</v>
      </c>
      <c r="O47" s="26" t="n">
        <v>6</v>
      </c>
      <c r="P47" s="26" t="n">
        <v>6</v>
      </c>
      <c r="Q47" s="26" t="n">
        <v>6</v>
      </c>
      <c r="R47" s="26" t="n">
        <v>6</v>
      </c>
      <c r="S47" s="26" t="n">
        <v>6</v>
      </c>
      <c r="T47" s="26" t="n">
        <v>6</v>
      </c>
      <c r="U47" s="26" t="n">
        <v>6</v>
      </c>
      <c r="V47" s="26" t="n">
        <v>6</v>
      </c>
      <c r="W47" s="26" t="n">
        <v>6</v>
      </c>
      <c r="X47" s="26" t="n">
        <v>6</v>
      </c>
      <c r="Y47" s="26" t="n">
        <v>6</v>
      </c>
      <c r="Z47" s="26" t="n">
        <v>6</v>
      </c>
      <c r="AA47" s="26" t="n">
        <v>6</v>
      </c>
      <c r="AB47" s="26" t="n">
        <v>4</v>
      </c>
      <c r="AC47" s="26" t="n">
        <v>2</v>
      </c>
      <c r="AD47" s="26" t="n">
        <v>0</v>
      </c>
      <c r="AE47" s="26" t="n">
        <v>0</v>
      </c>
      <c r="AF47" s="26" t="n">
        <v>0</v>
      </c>
      <c r="AG47" s="26" t="n">
        <v>0</v>
      </c>
      <c r="AH47" s="26" t="n">
        <v>0</v>
      </c>
      <c r="AI47" s="26" t="n">
        <v>0</v>
      </c>
      <c r="AJ47" s="26" t="n">
        <v>0</v>
      </c>
      <c r="AK47" s="26" t="n">
        <v>0</v>
      </c>
      <c r="AL47" s="26" t="n">
        <v>0</v>
      </c>
      <c r="AM47" s="26" t="n">
        <v>0</v>
      </c>
      <c r="AN47" s="26" t="n">
        <v>0</v>
      </c>
      <c r="AO47" s="26" t="n">
        <v>0</v>
      </c>
      <c r="AP47" s="26" t="n">
        <v>0</v>
      </c>
      <c r="AQ47" s="26" t="n">
        <v>0</v>
      </c>
      <c r="AR47" s="26" t="n">
        <v>0</v>
      </c>
      <c r="AS47" s="26" t="n">
        <v>0</v>
      </c>
      <c r="AT47" s="26" t="n">
        <v>0</v>
      </c>
    </row>
    <row r="48" ht="15.75" customHeight="1">
      <c r="A48" s="23" t="inlineStr">
        <is>
          <t>TA 2.2 – Completando el mantenedor de proveedores y su listado de materiales</t>
        </is>
      </c>
      <c r="B48" s="24" t="inlineStr">
        <is>
          <t>Cristóbal López</t>
        </is>
      </c>
      <c r="C48" s="31" t="inlineStr">
        <is>
          <t>Incremento 2</t>
        </is>
      </c>
      <c r="D48" s="26">
        <f>Planificación!H50</f>
        <v/>
      </c>
      <c r="E48" s="26" t="n">
        <v>8</v>
      </c>
      <c r="F48" s="26" t="n">
        <v>8</v>
      </c>
      <c r="G48" s="26" t="n">
        <v>8</v>
      </c>
      <c r="H48" s="26" t="n">
        <v>8</v>
      </c>
      <c r="I48" s="26" t="n">
        <v>8</v>
      </c>
      <c r="J48" s="26" t="n">
        <v>8</v>
      </c>
      <c r="K48" s="26" t="n">
        <v>8</v>
      </c>
      <c r="L48" s="26" t="n">
        <v>8</v>
      </c>
      <c r="M48" s="26" t="n">
        <v>8</v>
      </c>
      <c r="N48" s="26" t="n">
        <v>8</v>
      </c>
      <c r="O48" s="26" t="n">
        <v>8</v>
      </c>
      <c r="P48" s="26" t="n">
        <v>8</v>
      </c>
      <c r="Q48" s="26" t="n">
        <v>8</v>
      </c>
      <c r="R48" s="26" t="n">
        <v>8</v>
      </c>
      <c r="S48" s="26" t="n">
        <v>8</v>
      </c>
      <c r="T48" s="26" t="n">
        <v>8</v>
      </c>
      <c r="U48" s="26" t="n">
        <v>8</v>
      </c>
      <c r="V48" s="26" t="n">
        <v>8</v>
      </c>
      <c r="W48" s="26" t="n">
        <v>8</v>
      </c>
      <c r="X48" s="26" t="n">
        <v>8</v>
      </c>
      <c r="Y48" s="26" t="n">
        <v>8</v>
      </c>
      <c r="Z48" s="26" t="n">
        <v>8</v>
      </c>
      <c r="AA48" s="26" t="n">
        <v>8</v>
      </c>
      <c r="AB48" s="26" t="n">
        <v>8</v>
      </c>
      <c r="AC48" s="26" t="n">
        <v>5</v>
      </c>
      <c r="AD48" s="26" t="n">
        <v>3</v>
      </c>
      <c r="AE48" s="26" t="n">
        <v>0</v>
      </c>
      <c r="AF48" s="26" t="n">
        <v>0</v>
      </c>
      <c r="AG48" s="26" t="n">
        <v>0</v>
      </c>
      <c r="AH48" s="26" t="n">
        <v>0</v>
      </c>
      <c r="AI48" s="26" t="n">
        <v>0</v>
      </c>
      <c r="AJ48" s="26" t="n">
        <v>0</v>
      </c>
      <c r="AK48" s="26" t="n">
        <v>0</v>
      </c>
      <c r="AL48" s="26" t="n">
        <v>0</v>
      </c>
      <c r="AM48" s="26" t="n">
        <v>0</v>
      </c>
      <c r="AN48" s="26" t="n">
        <v>0</v>
      </c>
      <c r="AO48" s="26" t="n">
        <v>0</v>
      </c>
      <c r="AP48" s="26" t="n">
        <v>0</v>
      </c>
      <c r="AQ48" s="26" t="n">
        <v>0</v>
      </c>
      <c r="AR48" s="26" t="n">
        <v>0</v>
      </c>
      <c r="AS48" s="26" t="n">
        <v>0</v>
      </c>
      <c r="AT48" s="26" t="n">
        <v>0</v>
      </c>
    </row>
    <row r="49" ht="15.75" customHeight="1">
      <c r="A49" s="23" t="inlineStr">
        <is>
          <t>TA 2.3 – Completando el registro de proyectos y la carga del itemizado</t>
        </is>
      </c>
      <c r="B49" s="24" t="inlineStr">
        <is>
          <t>Matías Medina</t>
        </is>
      </c>
      <c r="C49" s="31" t="inlineStr">
        <is>
          <t>Incremento 2</t>
        </is>
      </c>
      <c r="D49" s="26">
        <f>Planificación!H51</f>
        <v/>
      </c>
      <c r="E49" s="26" t="n">
        <v>8</v>
      </c>
      <c r="F49" s="26" t="n">
        <v>8</v>
      </c>
      <c r="G49" s="26" t="n">
        <v>8</v>
      </c>
      <c r="H49" s="26" t="n">
        <v>8</v>
      </c>
      <c r="I49" s="26" t="n">
        <v>8</v>
      </c>
      <c r="J49" s="26" t="n">
        <v>8</v>
      </c>
      <c r="K49" s="26" t="n">
        <v>8</v>
      </c>
      <c r="L49" s="26" t="n">
        <v>8</v>
      </c>
      <c r="M49" s="26" t="n">
        <v>8</v>
      </c>
      <c r="N49" s="26" t="n">
        <v>8</v>
      </c>
      <c r="O49" s="26" t="n">
        <v>8</v>
      </c>
      <c r="P49" s="26" t="n">
        <v>8</v>
      </c>
      <c r="Q49" s="26" t="n">
        <v>8</v>
      </c>
      <c r="R49" s="26" t="n">
        <v>8</v>
      </c>
      <c r="S49" s="26" t="n">
        <v>8</v>
      </c>
      <c r="T49" s="26" t="n">
        <v>8</v>
      </c>
      <c r="U49" s="26" t="n">
        <v>8</v>
      </c>
      <c r="V49" s="26" t="n">
        <v>8</v>
      </c>
      <c r="W49" s="26" t="n">
        <v>8</v>
      </c>
      <c r="X49" s="26" t="n">
        <v>8</v>
      </c>
      <c r="Y49" s="26" t="n">
        <v>8</v>
      </c>
      <c r="Z49" s="26" t="n">
        <v>8</v>
      </c>
      <c r="AA49" s="26" t="n">
        <v>8</v>
      </c>
      <c r="AB49" s="26" t="n">
        <v>8</v>
      </c>
      <c r="AC49" s="26" t="n">
        <v>5</v>
      </c>
      <c r="AD49" s="26" t="n">
        <v>3</v>
      </c>
      <c r="AE49" s="26" t="n">
        <v>0</v>
      </c>
      <c r="AF49" s="26" t="n">
        <v>0</v>
      </c>
      <c r="AG49" s="26" t="n">
        <v>0</v>
      </c>
      <c r="AH49" s="26" t="n">
        <v>0</v>
      </c>
      <c r="AI49" s="26" t="n">
        <v>0</v>
      </c>
      <c r="AJ49" s="26" t="n">
        <v>0</v>
      </c>
      <c r="AK49" s="26" t="n">
        <v>0</v>
      </c>
      <c r="AL49" s="26" t="n">
        <v>0</v>
      </c>
      <c r="AM49" s="26" t="n">
        <v>0</v>
      </c>
      <c r="AN49" s="26" t="n">
        <v>0</v>
      </c>
      <c r="AO49" s="26" t="n">
        <v>0</v>
      </c>
      <c r="AP49" s="26" t="n">
        <v>0</v>
      </c>
      <c r="AQ49" s="26" t="n">
        <v>0</v>
      </c>
      <c r="AR49" s="26" t="n">
        <v>0</v>
      </c>
      <c r="AS49" s="26" t="n">
        <v>0</v>
      </c>
      <c r="AT49" s="26" t="n">
        <v>0</v>
      </c>
    </row>
    <row r="50" ht="15.75" customHeight="1">
      <c r="A50" s="23" t="inlineStr">
        <is>
          <t>TA 2.4 – Implementando las notificaciones de cambio de estado de la solicitud</t>
        </is>
      </c>
      <c r="B50" s="24" t="inlineStr">
        <is>
          <t>Cristóbal López</t>
        </is>
      </c>
      <c r="C50" s="31" t="inlineStr">
        <is>
          <t>Incremento 2</t>
        </is>
      </c>
      <c r="D50" s="26">
        <f>Planificación!H52</f>
        <v/>
      </c>
      <c r="E50" s="26" t="n">
        <v>6</v>
      </c>
      <c r="F50" s="26" t="n">
        <v>6</v>
      </c>
      <c r="G50" s="26" t="n">
        <v>6</v>
      </c>
      <c r="H50" s="26" t="n">
        <v>6</v>
      </c>
      <c r="I50" s="26" t="n">
        <v>6</v>
      </c>
      <c r="J50" s="26" t="n">
        <v>6</v>
      </c>
      <c r="K50" s="26" t="n">
        <v>6</v>
      </c>
      <c r="L50" s="26" t="n">
        <v>6</v>
      </c>
      <c r="M50" s="26" t="n">
        <v>6</v>
      </c>
      <c r="N50" s="26" t="n">
        <v>6</v>
      </c>
      <c r="O50" s="26" t="n">
        <v>6</v>
      </c>
      <c r="P50" s="26" t="n">
        <v>6</v>
      </c>
      <c r="Q50" s="26" t="n">
        <v>6</v>
      </c>
      <c r="R50" s="26" t="n">
        <v>6</v>
      </c>
      <c r="S50" s="26" t="n">
        <v>6</v>
      </c>
      <c r="T50" s="26" t="n">
        <v>6</v>
      </c>
      <c r="U50" s="26" t="n">
        <v>6</v>
      </c>
      <c r="V50" s="26" t="n">
        <v>6</v>
      </c>
      <c r="W50" s="26" t="n">
        <v>6</v>
      </c>
      <c r="X50" s="26" t="n">
        <v>6</v>
      </c>
      <c r="Y50" s="26" t="n">
        <v>6</v>
      </c>
      <c r="Z50" s="26" t="n">
        <v>6</v>
      </c>
      <c r="AA50" s="26" t="n">
        <v>6</v>
      </c>
      <c r="AB50" s="26" t="n">
        <v>6</v>
      </c>
      <c r="AC50" s="26" t="n">
        <v>6</v>
      </c>
      <c r="AD50" s="26" t="n">
        <v>4</v>
      </c>
      <c r="AE50" s="26" t="n">
        <v>2</v>
      </c>
      <c r="AF50" s="26" t="n">
        <v>0</v>
      </c>
      <c r="AG50" s="26" t="n">
        <v>0</v>
      </c>
      <c r="AH50" s="26" t="n">
        <v>0</v>
      </c>
      <c r="AI50" s="26" t="n">
        <v>0</v>
      </c>
      <c r="AJ50" s="26" t="n">
        <v>0</v>
      </c>
      <c r="AK50" s="26" t="n">
        <v>0</v>
      </c>
      <c r="AL50" s="26" t="n">
        <v>0</v>
      </c>
      <c r="AM50" s="26" t="n">
        <v>0</v>
      </c>
      <c r="AN50" s="26" t="n">
        <v>0</v>
      </c>
      <c r="AO50" s="26" t="n">
        <v>0</v>
      </c>
      <c r="AP50" s="26" t="n">
        <v>0</v>
      </c>
      <c r="AQ50" s="26" t="n">
        <v>0</v>
      </c>
      <c r="AR50" s="26" t="n">
        <v>0</v>
      </c>
      <c r="AS50" s="26" t="n">
        <v>0</v>
      </c>
      <c r="AT50" s="26" t="n">
        <v>0</v>
      </c>
    </row>
    <row r="51" ht="15.75" customHeight="1">
      <c r="A51" s="23" t="inlineStr">
        <is>
          <t>TA 2.5 – Implementando el registro de cotizaciones por solicitud</t>
        </is>
      </c>
      <c r="B51" s="24" t="inlineStr">
        <is>
          <t>Matías Medina</t>
        </is>
      </c>
      <c r="C51" s="31" t="inlineStr">
        <is>
          <t>Incremento 2</t>
        </is>
      </c>
      <c r="D51" s="26">
        <f>Planificación!H53</f>
        <v/>
      </c>
      <c r="E51" s="26" t="n">
        <v>6</v>
      </c>
      <c r="F51" s="26" t="n">
        <v>6</v>
      </c>
      <c r="G51" s="26" t="n">
        <v>6</v>
      </c>
      <c r="H51" s="26" t="n">
        <v>6</v>
      </c>
      <c r="I51" s="26" t="n">
        <v>6</v>
      </c>
      <c r="J51" s="26" t="n">
        <v>6</v>
      </c>
      <c r="K51" s="26" t="n">
        <v>6</v>
      </c>
      <c r="L51" s="26" t="n">
        <v>6</v>
      </c>
      <c r="M51" s="26" t="n">
        <v>6</v>
      </c>
      <c r="N51" s="26" t="n">
        <v>6</v>
      </c>
      <c r="O51" s="26" t="n">
        <v>6</v>
      </c>
      <c r="P51" s="26" t="n">
        <v>6</v>
      </c>
      <c r="Q51" s="26" t="n">
        <v>6</v>
      </c>
      <c r="R51" s="26" t="n">
        <v>6</v>
      </c>
      <c r="S51" s="26" t="n">
        <v>6</v>
      </c>
      <c r="T51" s="26" t="n">
        <v>6</v>
      </c>
      <c r="U51" s="26" t="n">
        <v>6</v>
      </c>
      <c r="V51" s="26" t="n">
        <v>6</v>
      </c>
      <c r="W51" s="26" t="n">
        <v>6</v>
      </c>
      <c r="X51" s="26" t="n">
        <v>6</v>
      </c>
      <c r="Y51" s="26" t="n">
        <v>6</v>
      </c>
      <c r="Z51" s="26" t="n">
        <v>6</v>
      </c>
      <c r="AA51" s="26" t="n">
        <v>6</v>
      </c>
      <c r="AB51" s="26" t="n">
        <v>6</v>
      </c>
      <c r="AC51" s="26" t="n">
        <v>6</v>
      </c>
      <c r="AD51" s="26" t="n">
        <v>4</v>
      </c>
      <c r="AE51" s="26" t="n">
        <v>3</v>
      </c>
      <c r="AF51" s="26" t="n">
        <v>2</v>
      </c>
      <c r="AG51" s="26" t="n">
        <v>0</v>
      </c>
      <c r="AH51" s="26" t="n">
        <v>0</v>
      </c>
      <c r="AI51" s="26" t="n">
        <v>0</v>
      </c>
      <c r="AJ51" s="26" t="n">
        <v>0</v>
      </c>
      <c r="AK51" s="26" t="n">
        <v>0</v>
      </c>
      <c r="AL51" s="26" t="n">
        <v>0</v>
      </c>
      <c r="AM51" s="26" t="n">
        <v>0</v>
      </c>
      <c r="AN51" s="26" t="n">
        <v>0</v>
      </c>
      <c r="AO51" s="26" t="n">
        <v>0</v>
      </c>
      <c r="AP51" s="26" t="n">
        <v>0</v>
      </c>
      <c r="AQ51" s="26" t="n">
        <v>0</v>
      </c>
      <c r="AR51" s="26" t="n">
        <v>0</v>
      </c>
      <c r="AS51" s="26" t="n">
        <v>0</v>
      </c>
      <c r="AT51" s="26" t="n">
        <v>0</v>
      </c>
    </row>
    <row r="52" ht="15.75" customHeight="1">
      <c r="A52" s="23" t="inlineStr">
        <is>
          <t>TA 2.6 – Implementando el cálculo automático del valor total de la cotización</t>
        </is>
      </c>
      <c r="B52" s="24" t="inlineStr">
        <is>
          <t>Cristóbal López</t>
        </is>
      </c>
      <c r="C52" s="31" t="inlineStr">
        <is>
          <t>Incremento 2</t>
        </is>
      </c>
      <c r="D52" s="26">
        <f>Planificación!H54</f>
        <v/>
      </c>
      <c r="E52" s="26" t="n">
        <v>6</v>
      </c>
      <c r="F52" s="26" t="n">
        <v>6</v>
      </c>
      <c r="G52" s="26" t="n">
        <v>6</v>
      </c>
      <c r="H52" s="26" t="n">
        <v>6</v>
      </c>
      <c r="I52" s="26" t="n">
        <v>6</v>
      </c>
      <c r="J52" s="26" t="n">
        <v>6</v>
      </c>
      <c r="K52" s="26" t="n">
        <v>6</v>
      </c>
      <c r="L52" s="26" t="n">
        <v>6</v>
      </c>
      <c r="M52" s="26" t="n">
        <v>6</v>
      </c>
      <c r="N52" s="26" t="n">
        <v>6</v>
      </c>
      <c r="O52" s="26" t="n">
        <v>6</v>
      </c>
      <c r="P52" s="26" t="n">
        <v>6</v>
      </c>
      <c r="Q52" s="26" t="n">
        <v>6</v>
      </c>
      <c r="R52" s="26" t="n">
        <v>6</v>
      </c>
      <c r="S52" s="26" t="n">
        <v>6</v>
      </c>
      <c r="T52" s="26" t="n">
        <v>6</v>
      </c>
      <c r="U52" s="26" t="n">
        <v>6</v>
      </c>
      <c r="V52" s="26" t="n">
        <v>6</v>
      </c>
      <c r="W52" s="26" t="n">
        <v>6</v>
      </c>
      <c r="X52" s="26" t="n">
        <v>6</v>
      </c>
      <c r="Y52" s="26" t="n">
        <v>6</v>
      </c>
      <c r="Z52" s="26" t="n">
        <v>6</v>
      </c>
      <c r="AA52" s="26" t="n">
        <v>6</v>
      </c>
      <c r="AB52" s="26" t="n">
        <v>6</v>
      </c>
      <c r="AC52" s="26" t="n">
        <v>6</v>
      </c>
      <c r="AD52" s="26" t="n">
        <v>6</v>
      </c>
      <c r="AE52" s="26" t="n">
        <v>6</v>
      </c>
      <c r="AF52" s="26" t="n">
        <v>4</v>
      </c>
      <c r="AG52" s="26" t="n">
        <v>2</v>
      </c>
      <c r="AH52" s="26" t="n">
        <v>0</v>
      </c>
      <c r="AI52" s="26" t="n">
        <v>0</v>
      </c>
      <c r="AJ52" s="26" t="n">
        <v>0</v>
      </c>
      <c r="AK52" s="26" t="n">
        <v>0</v>
      </c>
      <c r="AL52" s="26" t="n">
        <v>0</v>
      </c>
      <c r="AM52" s="26" t="n">
        <v>0</v>
      </c>
      <c r="AN52" s="26" t="n">
        <v>0</v>
      </c>
      <c r="AO52" s="26" t="n">
        <v>0</v>
      </c>
      <c r="AP52" s="26" t="n">
        <v>0</v>
      </c>
      <c r="AQ52" s="26" t="n">
        <v>0</v>
      </c>
      <c r="AR52" s="26" t="n">
        <v>0</v>
      </c>
      <c r="AS52" s="26" t="n">
        <v>0</v>
      </c>
      <c r="AT52" s="26" t="n">
        <v>0</v>
      </c>
    </row>
    <row r="53" ht="15.75" customHeight="1">
      <c r="A53" s="23" t="inlineStr">
        <is>
          <t>TA 2.7 – Implementando la aprobación y el descarte de líneas de cotización</t>
        </is>
      </c>
      <c r="B53" s="24" t="inlineStr">
        <is>
          <t>Matías Medina</t>
        </is>
      </c>
      <c r="C53" s="31" t="inlineStr">
        <is>
          <t>Incremento 2</t>
        </is>
      </c>
      <c r="D53" s="26">
        <f>Planificación!H55</f>
        <v/>
      </c>
      <c r="E53" s="26" t="n">
        <v>6</v>
      </c>
      <c r="F53" s="26" t="n">
        <v>6</v>
      </c>
      <c r="G53" s="26" t="n">
        <v>6</v>
      </c>
      <c r="H53" s="26" t="n">
        <v>6</v>
      </c>
      <c r="I53" s="26" t="n">
        <v>6</v>
      </c>
      <c r="J53" s="26" t="n">
        <v>6</v>
      </c>
      <c r="K53" s="26" t="n">
        <v>6</v>
      </c>
      <c r="L53" s="26" t="n">
        <v>6</v>
      </c>
      <c r="M53" s="26" t="n">
        <v>6</v>
      </c>
      <c r="N53" s="26" t="n">
        <v>6</v>
      </c>
      <c r="O53" s="26" t="n">
        <v>6</v>
      </c>
      <c r="P53" s="26" t="n">
        <v>6</v>
      </c>
      <c r="Q53" s="26" t="n">
        <v>6</v>
      </c>
      <c r="R53" s="26" t="n">
        <v>6</v>
      </c>
      <c r="S53" s="26" t="n">
        <v>6</v>
      </c>
      <c r="T53" s="26" t="n">
        <v>6</v>
      </c>
      <c r="U53" s="26" t="n">
        <v>6</v>
      </c>
      <c r="V53" s="26" t="n">
        <v>6</v>
      </c>
      <c r="W53" s="26" t="n">
        <v>6</v>
      </c>
      <c r="X53" s="26" t="n">
        <v>6</v>
      </c>
      <c r="Y53" s="26" t="n">
        <v>6</v>
      </c>
      <c r="Z53" s="26" t="n">
        <v>6</v>
      </c>
      <c r="AA53" s="26" t="n">
        <v>6</v>
      </c>
      <c r="AB53" s="26" t="n">
        <v>6</v>
      </c>
      <c r="AC53" s="26" t="n">
        <v>6</v>
      </c>
      <c r="AD53" s="26" t="n">
        <v>6</v>
      </c>
      <c r="AE53" s="26" t="n">
        <v>6</v>
      </c>
      <c r="AF53" s="26" t="n">
        <v>6</v>
      </c>
      <c r="AG53" s="26" t="n">
        <v>4</v>
      </c>
      <c r="AH53" s="26" t="n">
        <v>2</v>
      </c>
      <c r="AI53" s="26" t="n">
        <v>0</v>
      </c>
      <c r="AJ53" s="26" t="n">
        <v>0</v>
      </c>
      <c r="AK53" s="26" t="n">
        <v>0</v>
      </c>
      <c r="AL53" s="26" t="n">
        <v>0</v>
      </c>
      <c r="AM53" s="26" t="n">
        <v>0</v>
      </c>
      <c r="AN53" s="26" t="n">
        <v>0</v>
      </c>
      <c r="AO53" s="26" t="n">
        <v>0</v>
      </c>
      <c r="AP53" s="26" t="n">
        <v>0</v>
      </c>
      <c r="AQ53" s="26" t="n">
        <v>0</v>
      </c>
      <c r="AR53" s="26" t="n">
        <v>0</v>
      </c>
      <c r="AS53" s="26" t="n">
        <v>0</v>
      </c>
      <c r="AT53" s="26" t="n">
        <v>0</v>
      </c>
    </row>
    <row r="54" ht="15.75" customHeight="1">
      <c r="A54" s="23" t="inlineStr">
        <is>
          <t>TA 2.8 – Implementando la generación de órdenes de compra por proveedor</t>
        </is>
      </c>
      <c r="B54" s="24" t="inlineStr">
        <is>
          <t>Cristóbal López</t>
        </is>
      </c>
      <c r="C54" s="31" t="inlineStr">
        <is>
          <t>Incremento 2</t>
        </is>
      </c>
      <c r="D54" s="26">
        <f>Planificación!H56</f>
        <v/>
      </c>
      <c r="E54" s="26" t="n">
        <v>8</v>
      </c>
      <c r="F54" s="26" t="n">
        <v>8</v>
      </c>
      <c r="G54" s="26" t="n">
        <v>8</v>
      </c>
      <c r="H54" s="26" t="n">
        <v>8</v>
      </c>
      <c r="I54" s="26" t="n">
        <v>8</v>
      </c>
      <c r="J54" s="26" t="n">
        <v>8</v>
      </c>
      <c r="K54" s="26" t="n">
        <v>8</v>
      </c>
      <c r="L54" s="26" t="n">
        <v>8</v>
      </c>
      <c r="M54" s="26" t="n">
        <v>8</v>
      </c>
      <c r="N54" s="26" t="n">
        <v>8</v>
      </c>
      <c r="O54" s="26" t="n">
        <v>8</v>
      </c>
      <c r="P54" s="26" t="n">
        <v>8</v>
      </c>
      <c r="Q54" s="26" t="n">
        <v>8</v>
      </c>
      <c r="R54" s="26" t="n">
        <v>8</v>
      </c>
      <c r="S54" s="26" t="n">
        <v>8</v>
      </c>
      <c r="T54" s="26" t="n">
        <v>8</v>
      </c>
      <c r="U54" s="26" t="n">
        <v>8</v>
      </c>
      <c r="V54" s="26" t="n">
        <v>8</v>
      </c>
      <c r="W54" s="26" t="n">
        <v>8</v>
      </c>
      <c r="X54" s="26" t="n">
        <v>8</v>
      </c>
      <c r="Y54" s="26" t="n">
        <v>8</v>
      </c>
      <c r="Z54" s="26" t="n">
        <v>8</v>
      </c>
      <c r="AA54" s="26" t="n">
        <v>8</v>
      </c>
      <c r="AB54" s="26" t="n">
        <v>8</v>
      </c>
      <c r="AC54" s="26" t="n">
        <v>8</v>
      </c>
      <c r="AD54" s="26" t="n">
        <v>8</v>
      </c>
      <c r="AE54" s="26" t="n">
        <v>8</v>
      </c>
      <c r="AF54" s="26" t="n">
        <v>8</v>
      </c>
      <c r="AG54" s="26" t="n">
        <v>8</v>
      </c>
      <c r="AH54" s="26" t="n">
        <v>6</v>
      </c>
      <c r="AI54" s="26" t="n">
        <v>4</v>
      </c>
      <c r="AJ54" s="26" t="n">
        <v>2</v>
      </c>
      <c r="AK54" s="26" t="n">
        <v>0</v>
      </c>
      <c r="AL54" s="26" t="n">
        <v>0</v>
      </c>
      <c r="AM54" s="26" t="n">
        <v>0</v>
      </c>
      <c r="AN54" s="26" t="n">
        <v>0</v>
      </c>
      <c r="AO54" s="26" t="n">
        <v>0</v>
      </c>
      <c r="AP54" s="26" t="n">
        <v>0</v>
      </c>
      <c r="AQ54" s="26" t="n">
        <v>0</v>
      </c>
      <c r="AR54" s="26" t="n">
        <v>0</v>
      </c>
      <c r="AS54" s="26" t="n">
        <v>0</v>
      </c>
      <c r="AT54" s="26" t="n">
        <v>0</v>
      </c>
    </row>
    <row r="55" ht="15.75" customHeight="1">
      <c r="A55" s="23" t="inlineStr">
        <is>
          <t>TA 2.9 – Implementando la aprobación y el rechazo de órdenes de compra</t>
        </is>
      </c>
      <c r="B55" s="24" t="inlineStr">
        <is>
          <t>Matías Medina</t>
        </is>
      </c>
      <c r="C55" s="31" t="inlineStr">
        <is>
          <t>Incremento 2</t>
        </is>
      </c>
      <c r="D55" s="26">
        <f>Planificación!H57</f>
        <v/>
      </c>
      <c r="E55" s="26" t="n">
        <v>6</v>
      </c>
      <c r="F55" s="26" t="n">
        <v>6</v>
      </c>
      <c r="G55" s="26" t="n">
        <v>6</v>
      </c>
      <c r="H55" s="26" t="n">
        <v>6</v>
      </c>
      <c r="I55" s="26" t="n">
        <v>6</v>
      </c>
      <c r="J55" s="26" t="n">
        <v>6</v>
      </c>
      <c r="K55" s="26" t="n">
        <v>6</v>
      </c>
      <c r="L55" s="26" t="n">
        <v>6</v>
      </c>
      <c r="M55" s="26" t="n">
        <v>6</v>
      </c>
      <c r="N55" s="26" t="n">
        <v>6</v>
      </c>
      <c r="O55" s="26" t="n">
        <v>6</v>
      </c>
      <c r="P55" s="26" t="n">
        <v>6</v>
      </c>
      <c r="Q55" s="26" t="n">
        <v>6</v>
      </c>
      <c r="R55" s="26" t="n">
        <v>6</v>
      </c>
      <c r="S55" s="26" t="n">
        <v>6</v>
      </c>
      <c r="T55" s="26" t="n">
        <v>6</v>
      </c>
      <c r="U55" s="26" t="n">
        <v>6</v>
      </c>
      <c r="V55" s="26" t="n">
        <v>6</v>
      </c>
      <c r="W55" s="26" t="n">
        <v>6</v>
      </c>
      <c r="X55" s="26" t="n">
        <v>6</v>
      </c>
      <c r="Y55" s="26" t="n">
        <v>6</v>
      </c>
      <c r="Z55" s="26" t="n">
        <v>6</v>
      </c>
      <c r="AA55" s="26" t="n">
        <v>6</v>
      </c>
      <c r="AB55" s="26" t="n">
        <v>6</v>
      </c>
      <c r="AC55" s="26" t="n">
        <v>6</v>
      </c>
      <c r="AD55" s="26" t="n">
        <v>6</v>
      </c>
      <c r="AE55" s="26" t="n">
        <v>6</v>
      </c>
      <c r="AF55" s="26" t="n">
        <v>6</v>
      </c>
      <c r="AG55" s="26" t="n">
        <v>6</v>
      </c>
      <c r="AH55" s="26" t="n">
        <v>6</v>
      </c>
      <c r="AI55" s="26" t="n">
        <v>4</v>
      </c>
      <c r="AJ55" s="26" t="n">
        <v>2</v>
      </c>
      <c r="AK55" s="26" t="n">
        <v>0</v>
      </c>
      <c r="AL55" s="26" t="n">
        <v>0</v>
      </c>
      <c r="AM55" s="26" t="n">
        <v>0</v>
      </c>
      <c r="AN55" s="26" t="n">
        <v>0</v>
      </c>
      <c r="AO55" s="26" t="n">
        <v>0</v>
      </c>
      <c r="AP55" s="26" t="n">
        <v>0</v>
      </c>
      <c r="AQ55" s="26" t="n">
        <v>0</v>
      </c>
      <c r="AR55" s="26" t="n">
        <v>0</v>
      </c>
      <c r="AS55" s="26" t="n">
        <v>0</v>
      </c>
      <c r="AT55" s="26" t="n">
        <v>0</v>
      </c>
    </row>
    <row r="56" ht="15.75" customHeight="1">
      <c r="A56" s="23" t="inlineStr">
        <is>
          <t>TA 2.10 – Implementando la exportación de la orden de compra a PDF</t>
        </is>
      </c>
      <c r="B56" s="24" t="inlineStr">
        <is>
          <t>Cristóbal López</t>
        </is>
      </c>
      <c r="C56" s="31" t="inlineStr">
        <is>
          <t>Incremento 2</t>
        </is>
      </c>
      <c r="D56" s="26">
        <f>Planificación!H58</f>
        <v/>
      </c>
      <c r="E56" s="26" t="n">
        <v>8</v>
      </c>
      <c r="F56" s="26" t="n">
        <v>8</v>
      </c>
      <c r="G56" s="26" t="n">
        <v>8</v>
      </c>
      <c r="H56" s="26" t="n">
        <v>8</v>
      </c>
      <c r="I56" s="26" t="n">
        <v>8</v>
      </c>
      <c r="J56" s="26" t="n">
        <v>8</v>
      </c>
      <c r="K56" s="26" t="n">
        <v>8</v>
      </c>
      <c r="L56" s="26" t="n">
        <v>8</v>
      </c>
      <c r="M56" s="26" t="n">
        <v>8</v>
      </c>
      <c r="N56" s="26" t="n">
        <v>8</v>
      </c>
      <c r="O56" s="26" t="n">
        <v>8</v>
      </c>
      <c r="P56" s="26" t="n">
        <v>8</v>
      </c>
      <c r="Q56" s="26" t="n">
        <v>8</v>
      </c>
      <c r="R56" s="26" t="n">
        <v>8</v>
      </c>
      <c r="S56" s="26" t="n">
        <v>8</v>
      </c>
      <c r="T56" s="26" t="n">
        <v>8</v>
      </c>
      <c r="U56" s="26" t="n">
        <v>8</v>
      </c>
      <c r="V56" s="26" t="n">
        <v>8</v>
      </c>
      <c r="W56" s="26" t="n">
        <v>8</v>
      </c>
      <c r="X56" s="26" t="n">
        <v>8</v>
      </c>
      <c r="Y56" s="26" t="n">
        <v>8</v>
      </c>
      <c r="Z56" s="26" t="n">
        <v>8</v>
      </c>
      <c r="AA56" s="26" t="n">
        <v>8</v>
      </c>
      <c r="AB56" s="26" t="n">
        <v>8</v>
      </c>
      <c r="AC56" s="26" t="n">
        <v>8</v>
      </c>
      <c r="AD56" s="26" t="n">
        <v>8</v>
      </c>
      <c r="AE56" s="26" t="n">
        <v>8</v>
      </c>
      <c r="AF56" s="26" t="n">
        <v>8</v>
      </c>
      <c r="AG56" s="26" t="n">
        <v>8</v>
      </c>
      <c r="AH56" s="26" t="n">
        <v>8</v>
      </c>
      <c r="AI56" s="26" t="n">
        <v>8</v>
      </c>
      <c r="AJ56" s="26" t="n">
        <v>5</v>
      </c>
      <c r="AK56" s="26" t="n">
        <v>3</v>
      </c>
      <c r="AL56" s="26" t="n">
        <v>0</v>
      </c>
      <c r="AM56" s="26" t="n">
        <v>0</v>
      </c>
      <c r="AN56" s="26" t="n">
        <v>0</v>
      </c>
      <c r="AO56" s="26" t="n">
        <v>0</v>
      </c>
      <c r="AP56" s="26" t="n">
        <v>0</v>
      </c>
      <c r="AQ56" s="26" t="n">
        <v>0</v>
      </c>
      <c r="AR56" s="26" t="n">
        <v>0</v>
      </c>
      <c r="AS56" s="26" t="n">
        <v>0</v>
      </c>
      <c r="AT56" s="26" t="n">
        <v>0</v>
      </c>
    </row>
    <row r="57" ht="15.75" customHeight="1">
      <c r="A57" s="23" t="inlineStr">
        <is>
          <t>TA 2.11 – Implementando el envío automático de la orden de compra al proveedor</t>
        </is>
      </c>
      <c r="B57" s="24" t="inlineStr">
        <is>
          <t>Matías Medina</t>
        </is>
      </c>
      <c r="C57" s="31" t="inlineStr">
        <is>
          <t>Incremento 2</t>
        </is>
      </c>
      <c r="D57" s="26">
        <f>Planificación!H59</f>
        <v/>
      </c>
      <c r="E57" s="26" t="n">
        <v>6</v>
      </c>
      <c r="F57" s="26" t="n">
        <v>6</v>
      </c>
      <c r="G57" s="26" t="n">
        <v>6</v>
      </c>
      <c r="H57" s="26" t="n">
        <v>6</v>
      </c>
      <c r="I57" s="26" t="n">
        <v>6</v>
      </c>
      <c r="J57" s="26" t="n">
        <v>6</v>
      </c>
      <c r="K57" s="26" t="n">
        <v>6</v>
      </c>
      <c r="L57" s="26" t="n">
        <v>6</v>
      </c>
      <c r="M57" s="26" t="n">
        <v>6</v>
      </c>
      <c r="N57" s="26" t="n">
        <v>6</v>
      </c>
      <c r="O57" s="26" t="n">
        <v>6</v>
      </c>
      <c r="P57" s="26" t="n">
        <v>6</v>
      </c>
      <c r="Q57" s="26" t="n">
        <v>6</v>
      </c>
      <c r="R57" s="26" t="n">
        <v>6</v>
      </c>
      <c r="S57" s="26" t="n">
        <v>6</v>
      </c>
      <c r="T57" s="26" t="n">
        <v>6</v>
      </c>
      <c r="U57" s="26" t="n">
        <v>6</v>
      </c>
      <c r="V57" s="26" t="n">
        <v>6</v>
      </c>
      <c r="W57" s="26" t="n">
        <v>6</v>
      </c>
      <c r="X57" s="26" t="n">
        <v>6</v>
      </c>
      <c r="Y57" s="26" t="n">
        <v>6</v>
      </c>
      <c r="Z57" s="26" t="n">
        <v>6</v>
      </c>
      <c r="AA57" s="26" t="n">
        <v>6</v>
      </c>
      <c r="AB57" s="26" t="n">
        <v>6</v>
      </c>
      <c r="AC57" s="26" t="n">
        <v>6</v>
      </c>
      <c r="AD57" s="26" t="n">
        <v>6</v>
      </c>
      <c r="AE57" s="26" t="n">
        <v>6</v>
      </c>
      <c r="AF57" s="26" t="n">
        <v>6</v>
      </c>
      <c r="AG57" s="26" t="n">
        <v>6</v>
      </c>
      <c r="AH57" s="26" t="n">
        <v>6</v>
      </c>
      <c r="AI57" s="26" t="n">
        <v>6</v>
      </c>
      <c r="AJ57" s="26" t="n">
        <v>6</v>
      </c>
      <c r="AK57" s="26" t="n">
        <v>4</v>
      </c>
      <c r="AL57" s="26" t="n">
        <v>2</v>
      </c>
      <c r="AM57" s="26" t="n">
        <v>0</v>
      </c>
      <c r="AN57" s="26" t="n">
        <v>0</v>
      </c>
      <c r="AO57" s="26" t="n">
        <v>0</v>
      </c>
      <c r="AP57" s="26" t="n">
        <v>0</v>
      </c>
      <c r="AQ57" s="26" t="n">
        <v>0</v>
      </c>
      <c r="AR57" s="26" t="n">
        <v>0</v>
      </c>
      <c r="AS57" s="26" t="n">
        <v>0</v>
      </c>
      <c r="AT57" s="26" t="n">
        <v>0</v>
      </c>
    </row>
    <row r="58" ht="15.75" customHeight="1">
      <c r="A58" s="23" t="inlineStr">
        <is>
          <t>TA 2.12 – Implementando las recepciones de bodega y su validación contra la OC</t>
        </is>
      </c>
      <c r="B58" s="24" t="inlineStr">
        <is>
          <t>Cristóbal López</t>
        </is>
      </c>
      <c r="C58" s="31" t="inlineStr">
        <is>
          <t>Incremento 2</t>
        </is>
      </c>
      <c r="D58" s="26">
        <f>Planificación!H60</f>
        <v/>
      </c>
      <c r="E58" s="26" t="n">
        <v>8</v>
      </c>
      <c r="F58" s="26" t="n">
        <v>8</v>
      </c>
      <c r="G58" s="26" t="n">
        <v>8</v>
      </c>
      <c r="H58" s="26" t="n">
        <v>8</v>
      </c>
      <c r="I58" s="26" t="n">
        <v>8</v>
      </c>
      <c r="J58" s="26" t="n">
        <v>8</v>
      </c>
      <c r="K58" s="26" t="n">
        <v>8</v>
      </c>
      <c r="L58" s="26" t="n">
        <v>8</v>
      </c>
      <c r="M58" s="26" t="n">
        <v>8</v>
      </c>
      <c r="N58" s="26" t="n">
        <v>8</v>
      </c>
      <c r="O58" s="26" t="n">
        <v>8</v>
      </c>
      <c r="P58" s="26" t="n">
        <v>8</v>
      </c>
      <c r="Q58" s="26" t="n">
        <v>8</v>
      </c>
      <c r="R58" s="26" t="n">
        <v>8</v>
      </c>
      <c r="S58" s="26" t="n">
        <v>8</v>
      </c>
      <c r="T58" s="26" t="n">
        <v>8</v>
      </c>
      <c r="U58" s="26" t="n">
        <v>8</v>
      </c>
      <c r="V58" s="26" t="n">
        <v>8</v>
      </c>
      <c r="W58" s="26" t="n">
        <v>8</v>
      </c>
      <c r="X58" s="26" t="n">
        <v>8</v>
      </c>
      <c r="Y58" s="26" t="n">
        <v>8</v>
      </c>
      <c r="Z58" s="26" t="n">
        <v>8</v>
      </c>
      <c r="AA58" s="26" t="n">
        <v>8</v>
      </c>
      <c r="AB58" s="26" t="n">
        <v>8</v>
      </c>
      <c r="AC58" s="26" t="n">
        <v>8</v>
      </c>
      <c r="AD58" s="26" t="n">
        <v>8</v>
      </c>
      <c r="AE58" s="26" t="n">
        <v>8</v>
      </c>
      <c r="AF58" s="26" t="n">
        <v>8</v>
      </c>
      <c r="AG58" s="26" t="n">
        <v>8</v>
      </c>
      <c r="AH58" s="26" t="n">
        <v>6</v>
      </c>
      <c r="AI58" s="26" t="n">
        <v>4</v>
      </c>
      <c r="AJ58" s="26" t="n">
        <v>2</v>
      </c>
      <c r="AK58" s="26" t="n">
        <v>0</v>
      </c>
      <c r="AL58" s="26" t="n">
        <v>0</v>
      </c>
      <c r="AM58" s="26" t="n">
        <v>0</v>
      </c>
      <c r="AN58" s="26" t="n">
        <v>0</v>
      </c>
      <c r="AO58" s="26" t="n">
        <v>0</v>
      </c>
      <c r="AP58" s="26" t="n">
        <v>0</v>
      </c>
      <c r="AQ58" s="26" t="n">
        <v>0</v>
      </c>
      <c r="AR58" s="26" t="n">
        <v>0</v>
      </c>
      <c r="AS58" s="26" t="n">
        <v>0</v>
      </c>
      <c r="AT58" s="26" t="n">
        <v>0</v>
      </c>
    </row>
    <row r="59" ht="15.75" customHeight="1">
      <c r="A59" s="23" t="inlineStr">
        <is>
          <t>TA 2.13 – Implementando las salidas de bodega y el stock en tiempo real</t>
        </is>
      </c>
      <c r="B59" s="24" t="inlineStr">
        <is>
          <t>Matías Medina</t>
        </is>
      </c>
      <c r="C59" s="31" t="inlineStr">
        <is>
          <t>Incremento 2</t>
        </is>
      </c>
      <c r="D59" s="26">
        <f>Planificación!H61</f>
        <v/>
      </c>
      <c r="E59" s="26" t="n">
        <v>6</v>
      </c>
      <c r="F59" s="26" t="n">
        <v>6</v>
      </c>
      <c r="G59" s="26" t="n">
        <v>6</v>
      </c>
      <c r="H59" s="26" t="n">
        <v>6</v>
      </c>
      <c r="I59" s="26" t="n">
        <v>6</v>
      </c>
      <c r="J59" s="26" t="n">
        <v>6</v>
      </c>
      <c r="K59" s="26" t="n">
        <v>6</v>
      </c>
      <c r="L59" s="26" t="n">
        <v>6</v>
      </c>
      <c r="M59" s="26" t="n">
        <v>6</v>
      </c>
      <c r="N59" s="26" t="n">
        <v>6</v>
      </c>
      <c r="O59" s="26" t="n">
        <v>6</v>
      </c>
      <c r="P59" s="26" t="n">
        <v>6</v>
      </c>
      <c r="Q59" s="26" t="n">
        <v>6</v>
      </c>
      <c r="R59" s="26" t="n">
        <v>6</v>
      </c>
      <c r="S59" s="26" t="n">
        <v>6</v>
      </c>
      <c r="T59" s="26" t="n">
        <v>6</v>
      </c>
      <c r="U59" s="26" t="n">
        <v>6</v>
      </c>
      <c r="V59" s="26" t="n">
        <v>6</v>
      </c>
      <c r="W59" s="26" t="n">
        <v>6</v>
      </c>
      <c r="X59" s="26" t="n">
        <v>6</v>
      </c>
      <c r="Y59" s="26" t="n">
        <v>6</v>
      </c>
      <c r="Z59" s="26" t="n">
        <v>6</v>
      </c>
      <c r="AA59" s="26" t="n">
        <v>6</v>
      </c>
      <c r="AB59" s="26" t="n">
        <v>6</v>
      </c>
      <c r="AC59" s="26" t="n">
        <v>6</v>
      </c>
      <c r="AD59" s="26" t="n">
        <v>6</v>
      </c>
      <c r="AE59" s="26" t="n">
        <v>6</v>
      </c>
      <c r="AF59" s="26" t="n">
        <v>6</v>
      </c>
      <c r="AG59" s="26" t="n">
        <v>6</v>
      </c>
      <c r="AH59" s="26" t="n">
        <v>6</v>
      </c>
      <c r="AI59" s="26" t="n">
        <v>6</v>
      </c>
      <c r="AJ59" s="26" t="n">
        <v>4</v>
      </c>
      <c r="AK59" s="26" t="n">
        <v>2</v>
      </c>
      <c r="AL59" s="26" t="n">
        <v>0</v>
      </c>
      <c r="AM59" s="26" t="n">
        <v>0</v>
      </c>
      <c r="AN59" s="26" t="n">
        <v>0</v>
      </c>
      <c r="AO59" s="26" t="n">
        <v>0</v>
      </c>
      <c r="AP59" s="26" t="n">
        <v>0</v>
      </c>
      <c r="AQ59" s="26" t="n">
        <v>0</v>
      </c>
      <c r="AR59" s="26" t="n">
        <v>0</v>
      </c>
      <c r="AS59" s="26" t="n">
        <v>0</v>
      </c>
      <c r="AT59" s="26" t="n">
        <v>0</v>
      </c>
    </row>
    <row r="60" ht="15.75" customHeight="1">
      <c r="A60" s="23" t="inlineStr">
        <is>
          <t>TA 2.14 – Implementando el préstamo y la devolución de herramientas</t>
        </is>
      </c>
      <c r="B60" s="24" t="inlineStr">
        <is>
          <t>Cristóbal López</t>
        </is>
      </c>
      <c r="C60" s="31" t="inlineStr">
        <is>
          <t>Incremento 2</t>
        </is>
      </c>
      <c r="D60" s="26">
        <f>Planificación!H62</f>
        <v/>
      </c>
      <c r="E60" s="26" t="n">
        <v>8</v>
      </c>
      <c r="F60" s="26" t="n">
        <v>8</v>
      </c>
      <c r="G60" s="26" t="n">
        <v>8</v>
      </c>
      <c r="H60" s="26" t="n">
        <v>8</v>
      </c>
      <c r="I60" s="26" t="n">
        <v>8</v>
      </c>
      <c r="J60" s="26" t="n">
        <v>8</v>
      </c>
      <c r="K60" s="26" t="n">
        <v>8</v>
      </c>
      <c r="L60" s="26" t="n">
        <v>8</v>
      </c>
      <c r="M60" s="26" t="n">
        <v>8</v>
      </c>
      <c r="N60" s="26" t="n">
        <v>8</v>
      </c>
      <c r="O60" s="26" t="n">
        <v>8</v>
      </c>
      <c r="P60" s="26" t="n">
        <v>8</v>
      </c>
      <c r="Q60" s="26" t="n">
        <v>8</v>
      </c>
      <c r="R60" s="26" t="n">
        <v>8</v>
      </c>
      <c r="S60" s="26" t="n">
        <v>8</v>
      </c>
      <c r="T60" s="26" t="n">
        <v>8</v>
      </c>
      <c r="U60" s="26" t="n">
        <v>8</v>
      </c>
      <c r="V60" s="26" t="n">
        <v>8</v>
      </c>
      <c r="W60" s="26" t="n">
        <v>8</v>
      </c>
      <c r="X60" s="26" t="n">
        <v>8</v>
      </c>
      <c r="Y60" s="26" t="n">
        <v>8</v>
      </c>
      <c r="Z60" s="26" t="n">
        <v>8</v>
      </c>
      <c r="AA60" s="26" t="n">
        <v>8</v>
      </c>
      <c r="AB60" s="26" t="n">
        <v>8</v>
      </c>
      <c r="AC60" s="26" t="n">
        <v>8</v>
      </c>
      <c r="AD60" s="26" t="n">
        <v>8</v>
      </c>
      <c r="AE60" s="26" t="n">
        <v>8</v>
      </c>
      <c r="AF60" s="26" t="n">
        <v>8</v>
      </c>
      <c r="AG60" s="26" t="n">
        <v>8</v>
      </c>
      <c r="AH60" s="26" t="n">
        <v>8</v>
      </c>
      <c r="AI60" s="26" t="n">
        <v>8</v>
      </c>
      <c r="AJ60" s="26" t="n">
        <v>8</v>
      </c>
      <c r="AK60" s="26" t="n">
        <v>5</v>
      </c>
      <c r="AL60" s="26" t="n">
        <v>3</v>
      </c>
      <c r="AM60" s="26" t="n">
        <v>0</v>
      </c>
      <c r="AN60" s="26" t="n">
        <v>0</v>
      </c>
      <c r="AO60" s="26" t="n">
        <v>0</v>
      </c>
      <c r="AP60" s="26" t="n">
        <v>0</v>
      </c>
      <c r="AQ60" s="26" t="n">
        <v>0</v>
      </c>
      <c r="AR60" s="26" t="n">
        <v>0</v>
      </c>
      <c r="AS60" s="26" t="n">
        <v>0</v>
      </c>
      <c r="AT60" s="26" t="n">
        <v>0</v>
      </c>
    </row>
    <row r="61" ht="15.75" customHeight="1">
      <c r="A61" s="23" t="inlineStr">
        <is>
          <t>TA 2.15 – Implementando el registro de mermas y las devoluciones a proveedor</t>
        </is>
      </c>
      <c r="B61" s="24" t="inlineStr">
        <is>
          <t>Matías Medina</t>
        </is>
      </c>
      <c r="C61" s="31" t="inlineStr">
        <is>
          <t>Incremento 2</t>
        </is>
      </c>
      <c r="D61" s="26">
        <f>Planificación!H63</f>
        <v/>
      </c>
      <c r="E61" s="26" t="n">
        <v>6</v>
      </c>
      <c r="F61" s="26" t="n">
        <v>6</v>
      </c>
      <c r="G61" s="26" t="n">
        <v>6</v>
      </c>
      <c r="H61" s="26" t="n">
        <v>6</v>
      </c>
      <c r="I61" s="26" t="n">
        <v>6</v>
      </c>
      <c r="J61" s="26" t="n">
        <v>6</v>
      </c>
      <c r="K61" s="26" t="n">
        <v>6</v>
      </c>
      <c r="L61" s="26" t="n">
        <v>6</v>
      </c>
      <c r="M61" s="26" t="n">
        <v>6</v>
      </c>
      <c r="N61" s="26" t="n">
        <v>6</v>
      </c>
      <c r="O61" s="26" t="n">
        <v>6</v>
      </c>
      <c r="P61" s="26" t="n">
        <v>6</v>
      </c>
      <c r="Q61" s="26" t="n">
        <v>6</v>
      </c>
      <c r="R61" s="26" t="n">
        <v>6</v>
      </c>
      <c r="S61" s="26" t="n">
        <v>6</v>
      </c>
      <c r="T61" s="26" t="n">
        <v>6</v>
      </c>
      <c r="U61" s="26" t="n">
        <v>6</v>
      </c>
      <c r="V61" s="26" t="n">
        <v>6</v>
      </c>
      <c r="W61" s="26" t="n">
        <v>6</v>
      </c>
      <c r="X61" s="26" t="n">
        <v>6</v>
      </c>
      <c r="Y61" s="26" t="n">
        <v>6</v>
      </c>
      <c r="Z61" s="26" t="n">
        <v>6</v>
      </c>
      <c r="AA61" s="26" t="n">
        <v>6</v>
      </c>
      <c r="AB61" s="26" t="n">
        <v>6</v>
      </c>
      <c r="AC61" s="26" t="n">
        <v>6</v>
      </c>
      <c r="AD61" s="26" t="n">
        <v>6</v>
      </c>
      <c r="AE61" s="26" t="n">
        <v>6</v>
      </c>
      <c r="AF61" s="26" t="n">
        <v>6</v>
      </c>
      <c r="AG61" s="26" t="n">
        <v>6</v>
      </c>
      <c r="AH61" s="26" t="n">
        <v>6</v>
      </c>
      <c r="AI61" s="26" t="n">
        <v>6</v>
      </c>
      <c r="AJ61" s="26" t="n">
        <v>6</v>
      </c>
      <c r="AK61" s="26" t="n">
        <v>6</v>
      </c>
      <c r="AL61" s="26" t="n">
        <v>4</v>
      </c>
      <c r="AM61" s="26" t="n">
        <v>2</v>
      </c>
      <c r="AN61" s="26" t="n">
        <v>0</v>
      </c>
      <c r="AO61" s="26" t="n">
        <v>0</v>
      </c>
      <c r="AP61" s="26" t="n">
        <v>0</v>
      </c>
      <c r="AQ61" s="26" t="n">
        <v>0</v>
      </c>
      <c r="AR61" s="26" t="n">
        <v>0</v>
      </c>
      <c r="AS61" s="26" t="n">
        <v>0</v>
      </c>
      <c r="AT61" s="26" t="n">
        <v>0</v>
      </c>
    </row>
    <row r="62" ht="15.75" customHeight="1">
      <c r="A62" s="23" t="inlineStr">
        <is>
          <t>TA 2.16 – Implementando la alerta visual de stock crítico</t>
        </is>
      </c>
      <c r="B62" s="24" t="inlineStr">
        <is>
          <t>Cristóbal López</t>
        </is>
      </c>
      <c r="C62" s="31" t="inlineStr">
        <is>
          <t>Incremento 2</t>
        </is>
      </c>
      <c r="D62" s="26">
        <f>Planificación!H64</f>
        <v/>
      </c>
      <c r="E62" s="26" t="n">
        <v>4</v>
      </c>
      <c r="F62" s="26" t="n">
        <v>4</v>
      </c>
      <c r="G62" s="26" t="n">
        <v>4</v>
      </c>
      <c r="H62" s="26" t="n">
        <v>4</v>
      </c>
      <c r="I62" s="26" t="n">
        <v>4</v>
      </c>
      <c r="J62" s="26" t="n">
        <v>4</v>
      </c>
      <c r="K62" s="26" t="n">
        <v>4</v>
      </c>
      <c r="L62" s="26" t="n">
        <v>4</v>
      </c>
      <c r="M62" s="26" t="n">
        <v>4</v>
      </c>
      <c r="N62" s="26" t="n">
        <v>4</v>
      </c>
      <c r="O62" s="26" t="n">
        <v>4</v>
      </c>
      <c r="P62" s="26" t="n">
        <v>4</v>
      </c>
      <c r="Q62" s="26" t="n">
        <v>4</v>
      </c>
      <c r="R62" s="26" t="n">
        <v>4</v>
      </c>
      <c r="S62" s="26" t="n">
        <v>4</v>
      </c>
      <c r="T62" s="26" t="n">
        <v>4</v>
      </c>
      <c r="U62" s="26" t="n">
        <v>4</v>
      </c>
      <c r="V62" s="26" t="n">
        <v>4</v>
      </c>
      <c r="W62" s="26" t="n">
        <v>4</v>
      </c>
      <c r="X62" s="26" t="n">
        <v>4</v>
      </c>
      <c r="Y62" s="26" t="n">
        <v>4</v>
      </c>
      <c r="Z62" s="26" t="n">
        <v>4</v>
      </c>
      <c r="AA62" s="26" t="n">
        <v>4</v>
      </c>
      <c r="AB62" s="26" t="n">
        <v>4</v>
      </c>
      <c r="AC62" s="26" t="n">
        <v>4</v>
      </c>
      <c r="AD62" s="26" t="n">
        <v>4</v>
      </c>
      <c r="AE62" s="26" t="n">
        <v>4</v>
      </c>
      <c r="AF62" s="26" t="n">
        <v>4</v>
      </c>
      <c r="AG62" s="26" t="n">
        <v>4</v>
      </c>
      <c r="AH62" s="26" t="n">
        <v>4</v>
      </c>
      <c r="AI62" s="26" t="n">
        <v>4</v>
      </c>
      <c r="AJ62" s="26" t="n">
        <v>4</v>
      </c>
      <c r="AK62" s="26" t="n">
        <v>4</v>
      </c>
      <c r="AL62" s="26" t="n">
        <v>4</v>
      </c>
      <c r="AM62" s="26" t="n">
        <v>2</v>
      </c>
      <c r="AN62" s="26" t="n">
        <v>0</v>
      </c>
      <c r="AO62" s="26" t="n">
        <v>0</v>
      </c>
      <c r="AP62" s="26" t="n">
        <v>0</v>
      </c>
      <c r="AQ62" s="26" t="n">
        <v>0</v>
      </c>
      <c r="AR62" s="26" t="n">
        <v>0</v>
      </c>
      <c r="AS62" s="26" t="n">
        <v>0</v>
      </c>
      <c r="AT62" s="26" t="n">
        <v>0</v>
      </c>
    </row>
    <row r="63" ht="15.75" customHeight="1">
      <c r="A63" s="23" t="inlineStr">
        <is>
          <t>TA 2.17 – Implementando la recepción de facturas y su margen de tolerancia</t>
        </is>
      </c>
      <c r="B63" s="24" t="inlineStr">
        <is>
          <t>Matías Medina</t>
        </is>
      </c>
      <c r="C63" s="31" t="inlineStr">
        <is>
          <t>Incremento 2</t>
        </is>
      </c>
      <c r="D63" s="26">
        <f>Planificación!H65</f>
        <v/>
      </c>
      <c r="E63" s="26" t="n">
        <v>8</v>
      </c>
      <c r="F63" s="26" t="n">
        <v>8</v>
      </c>
      <c r="G63" s="26" t="n">
        <v>8</v>
      </c>
      <c r="H63" s="26" t="n">
        <v>8</v>
      </c>
      <c r="I63" s="26" t="n">
        <v>8</v>
      </c>
      <c r="J63" s="26" t="n">
        <v>8</v>
      </c>
      <c r="K63" s="26" t="n">
        <v>8</v>
      </c>
      <c r="L63" s="26" t="n">
        <v>8</v>
      </c>
      <c r="M63" s="26" t="n">
        <v>8</v>
      </c>
      <c r="N63" s="26" t="n">
        <v>8</v>
      </c>
      <c r="O63" s="26" t="n">
        <v>8</v>
      </c>
      <c r="P63" s="26" t="n">
        <v>8</v>
      </c>
      <c r="Q63" s="26" t="n">
        <v>8</v>
      </c>
      <c r="R63" s="26" t="n">
        <v>8</v>
      </c>
      <c r="S63" s="26" t="n">
        <v>8</v>
      </c>
      <c r="T63" s="26" t="n">
        <v>8</v>
      </c>
      <c r="U63" s="26" t="n">
        <v>8</v>
      </c>
      <c r="V63" s="26" t="n">
        <v>8</v>
      </c>
      <c r="W63" s="26" t="n">
        <v>8</v>
      </c>
      <c r="X63" s="26" t="n">
        <v>8</v>
      </c>
      <c r="Y63" s="26" t="n">
        <v>8</v>
      </c>
      <c r="Z63" s="26" t="n">
        <v>8</v>
      </c>
      <c r="AA63" s="26" t="n">
        <v>8</v>
      </c>
      <c r="AB63" s="26" t="n">
        <v>8</v>
      </c>
      <c r="AC63" s="26" t="n">
        <v>8</v>
      </c>
      <c r="AD63" s="26" t="n">
        <v>8</v>
      </c>
      <c r="AE63" s="26" t="n">
        <v>8</v>
      </c>
      <c r="AF63" s="26" t="n">
        <v>8</v>
      </c>
      <c r="AG63" s="26" t="n">
        <v>8</v>
      </c>
      <c r="AH63" s="26" t="n">
        <v>8</v>
      </c>
      <c r="AI63" s="26" t="n">
        <v>8</v>
      </c>
      <c r="AJ63" s="26" t="n">
        <v>8</v>
      </c>
      <c r="AK63" s="26" t="n">
        <v>8</v>
      </c>
      <c r="AL63" s="26" t="n">
        <v>6</v>
      </c>
      <c r="AM63" s="26" t="n">
        <v>4</v>
      </c>
      <c r="AN63" s="26" t="n">
        <v>2</v>
      </c>
      <c r="AO63" s="26" t="n">
        <v>0</v>
      </c>
      <c r="AP63" s="26" t="n">
        <v>0</v>
      </c>
      <c r="AQ63" s="26" t="n">
        <v>0</v>
      </c>
      <c r="AR63" s="26" t="n">
        <v>0</v>
      </c>
      <c r="AS63" s="26" t="n">
        <v>0</v>
      </c>
      <c r="AT63" s="26" t="n">
        <v>0</v>
      </c>
    </row>
    <row r="64" ht="15.75" customHeight="1">
      <c r="A64" s="23" t="inlineStr">
        <is>
          <t>TA 2.18 – Implementando la vista de Cuentas por Pagar y la exportación a CSV</t>
        </is>
      </c>
      <c r="B64" s="24" t="inlineStr">
        <is>
          <t>Cristóbal López</t>
        </is>
      </c>
      <c r="C64" s="31" t="inlineStr">
        <is>
          <t>Incremento 2</t>
        </is>
      </c>
      <c r="D64" s="26">
        <f>Planificación!H66</f>
        <v/>
      </c>
      <c r="E64" s="26" t="n">
        <v>6</v>
      </c>
      <c r="F64" s="26" t="n">
        <v>6</v>
      </c>
      <c r="G64" s="26" t="n">
        <v>6</v>
      </c>
      <c r="H64" s="26" t="n">
        <v>6</v>
      </c>
      <c r="I64" s="26" t="n">
        <v>6</v>
      </c>
      <c r="J64" s="26" t="n">
        <v>6</v>
      </c>
      <c r="K64" s="26" t="n">
        <v>6</v>
      </c>
      <c r="L64" s="26" t="n">
        <v>6</v>
      </c>
      <c r="M64" s="26" t="n">
        <v>6</v>
      </c>
      <c r="N64" s="26" t="n">
        <v>6</v>
      </c>
      <c r="O64" s="26" t="n">
        <v>6</v>
      </c>
      <c r="P64" s="26" t="n">
        <v>6</v>
      </c>
      <c r="Q64" s="26" t="n">
        <v>6</v>
      </c>
      <c r="R64" s="26" t="n">
        <v>6</v>
      </c>
      <c r="S64" s="26" t="n">
        <v>6</v>
      </c>
      <c r="T64" s="26" t="n">
        <v>6</v>
      </c>
      <c r="U64" s="26" t="n">
        <v>6</v>
      </c>
      <c r="V64" s="26" t="n">
        <v>6</v>
      </c>
      <c r="W64" s="26" t="n">
        <v>6</v>
      </c>
      <c r="X64" s="26" t="n">
        <v>6</v>
      </c>
      <c r="Y64" s="26" t="n">
        <v>6</v>
      </c>
      <c r="Z64" s="26" t="n">
        <v>6</v>
      </c>
      <c r="AA64" s="26" t="n">
        <v>6</v>
      </c>
      <c r="AB64" s="26" t="n">
        <v>6</v>
      </c>
      <c r="AC64" s="26" t="n">
        <v>6</v>
      </c>
      <c r="AD64" s="26" t="n">
        <v>6</v>
      </c>
      <c r="AE64" s="26" t="n">
        <v>6</v>
      </c>
      <c r="AF64" s="26" t="n">
        <v>6</v>
      </c>
      <c r="AG64" s="26" t="n">
        <v>6</v>
      </c>
      <c r="AH64" s="26" t="n">
        <v>6</v>
      </c>
      <c r="AI64" s="26" t="n">
        <v>6</v>
      </c>
      <c r="AJ64" s="26" t="n">
        <v>6</v>
      </c>
      <c r="AK64" s="26" t="n">
        <v>6</v>
      </c>
      <c r="AL64" s="26" t="n">
        <v>6</v>
      </c>
      <c r="AM64" s="26" t="n">
        <v>6</v>
      </c>
      <c r="AN64" s="26" t="n">
        <v>4</v>
      </c>
      <c r="AO64" s="26" t="n">
        <v>2</v>
      </c>
      <c r="AP64" s="26" t="n">
        <v>0</v>
      </c>
      <c r="AQ64" s="26" t="n">
        <v>0</v>
      </c>
      <c r="AR64" s="26" t="n">
        <v>0</v>
      </c>
      <c r="AS64" s="26" t="n">
        <v>0</v>
      </c>
      <c r="AT64" s="26" t="n">
        <v>0</v>
      </c>
    </row>
    <row r="65" ht="15.75" customHeight="1">
      <c r="A65" s="23" t="inlineStr">
        <is>
          <t>TA 2.19 – Ampliando el control de acceso por rol a Bodega y Contabilidad</t>
        </is>
      </c>
      <c r="B65" s="24" t="inlineStr">
        <is>
          <t>Matías Medina</t>
        </is>
      </c>
      <c r="C65" s="31" t="inlineStr">
        <is>
          <t>Incremento 2</t>
        </is>
      </c>
      <c r="D65" s="26">
        <f>Planificación!H67</f>
        <v/>
      </c>
      <c r="E65" s="26" t="n">
        <v>6</v>
      </c>
      <c r="F65" s="26" t="n">
        <v>6</v>
      </c>
      <c r="G65" s="26" t="n">
        <v>6</v>
      </c>
      <c r="H65" s="26" t="n">
        <v>6</v>
      </c>
      <c r="I65" s="26" t="n">
        <v>6</v>
      </c>
      <c r="J65" s="26" t="n">
        <v>6</v>
      </c>
      <c r="K65" s="26" t="n">
        <v>6</v>
      </c>
      <c r="L65" s="26" t="n">
        <v>6</v>
      </c>
      <c r="M65" s="26" t="n">
        <v>6</v>
      </c>
      <c r="N65" s="26" t="n">
        <v>6</v>
      </c>
      <c r="O65" s="26" t="n">
        <v>6</v>
      </c>
      <c r="P65" s="26" t="n">
        <v>6</v>
      </c>
      <c r="Q65" s="26" t="n">
        <v>6</v>
      </c>
      <c r="R65" s="26" t="n">
        <v>6</v>
      </c>
      <c r="S65" s="26" t="n">
        <v>6</v>
      </c>
      <c r="T65" s="26" t="n">
        <v>6</v>
      </c>
      <c r="U65" s="26" t="n">
        <v>6</v>
      </c>
      <c r="V65" s="26" t="n">
        <v>6</v>
      </c>
      <c r="W65" s="26" t="n">
        <v>6</v>
      </c>
      <c r="X65" s="26" t="n">
        <v>6</v>
      </c>
      <c r="Y65" s="26" t="n">
        <v>6</v>
      </c>
      <c r="Z65" s="26" t="n">
        <v>6</v>
      </c>
      <c r="AA65" s="26" t="n">
        <v>6</v>
      </c>
      <c r="AB65" s="26" t="n">
        <v>6</v>
      </c>
      <c r="AC65" s="26" t="n">
        <v>6</v>
      </c>
      <c r="AD65" s="26" t="n">
        <v>6</v>
      </c>
      <c r="AE65" s="26" t="n">
        <v>6</v>
      </c>
      <c r="AF65" s="26" t="n">
        <v>6</v>
      </c>
      <c r="AG65" s="26" t="n">
        <v>6</v>
      </c>
      <c r="AH65" s="26" t="n">
        <v>6</v>
      </c>
      <c r="AI65" s="26" t="n">
        <v>6</v>
      </c>
      <c r="AJ65" s="26" t="n">
        <v>6</v>
      </c>
      <c r="AK65" s="26" t="n">
        <v>6</v>
      </c>
      <c r="AL65" s="26" t="n">
        <v>6</v>
      </c>
      <c r="AM65" s="26" t="n">
        <v>6</v>
      </c>
      <c r="AN65" s="26" t="n">
        <v>3</v>
      </c>
      <c r="AO65" s="26" t="n">
        <v>0</v>
      </c>
      <c r="AP65" s="26" t="n">
        <v>0</v>
      </c>
      <c r="AQ65" s="26" t="n">
        <v>0</v>
      </c>
      <c r="AR65" s="26" t="n">
        <v>0</v>
      </c>
      <c r="AS65" s="26" t="n">
        <v>0</v>
      </c>
      <c r="AT65" s="26" t="n">
        <v>0</v>
      </c>
    </row>
    <row r="66" ht="15.75" customHeight="1">
      <c r="A66" s="23" t="inlineStr">
        <is>
          <t>TA 2.20 – Cargando los datos de demostración en la base de datos</t>
        </is>
      </c>
      <c r="B66" s="24" t="inlineStr">
        <is>
          <t>Cristóbal López</t>
        </is>
      </c>
      <c r="C66" s="31" t="inlineStr">
        <is>
          <t>Incremento 2</t>
        </is>
      </c>
      <c r="D66" s="26">
        <f>Planificación!H68</f>
        <v/>
      </c>
      <c r="E66" s="26" t="n">
        <v>4</v>
      </c>
      <c r="F66" s="26" t="n">
        <v>4</v>
      </c>
      <c r="G66" s="26" t="n">
        <v>4</v>
      </c>
      <c r="H66" s="26" t="n">
        <v>4</v>
      </c>
      <c r="I66" s="26" t="n">
        <v>4</v>
      </c>
      <c r="J66" s="26" t="n">
        <v>4</v>
      </c>
      <c r="K66" s="26" t="n">
        <v>4</v>
      </c>
      <c r="L66" s="26" t="n">
        <v>4</v>
      </c>
      <c r="M66" s="26" t="n">
        <v>4</v>
      </c>
      <c r="N66" s="26" t="n">
        <v>4</v>
      </c>
      <c r="O66" s="26" t="n">
        <v>4</v>
      </c>
      <c r="P66" s="26" t="n">
        <v>4</v>
      </c>
      <c r="Q66" s="26" t="n">
        <v>4</v>
      </c>
      <c r="R66" s="26" t="n">
        <v>4</v>
      </c>
      <c r="S66" s="26" t="n">
        <v>4</v>
      </c>
      <c r="T66" s="26" t="n">
        <v>4</v>
      </c>
      <c r="U66" s="26" t="n">
        <v>4</v>
      </c>
      <c r="V66" s="26" t="n">
        <v>4</v>
      </c>
      <c r="W66" s="26" t="n">
        <v>4</v>
      </c>
      <c r="X66" s="26" t="n">
        <v>4</v>
      </c>
      <c r="Y66" s="26" t="n">
        <v>4</v>
      </c>
      <c r="Z66" s="26" t="n">
        <v>4</v>
      </c>
      <c r="AA66" s="26" t="n">
        <v>4</v>
      </c>
      <c r="AB66" s="26" t="n">
        <v>4</v>
      </c>
      <c r="AC66" s="26" t="n">
        <v>4</v>
      </c>
      <c r="AD66" s="26" t="n">
        <v>4</v>
      </c>
      <c r="AE66" s="26" t="n">
        <v>4</v>
      </c>
      <c r="AF66" s="26" t="n">
        <v>4</v>
      </c>
      <c r="AG66" s="26" t="n">
        <v>4</v>
      </c>
      <c r="AH66" s="26" t="n">
        <v>4</v>
      </c>
      <c r="AI66" s="26" t="n">
        <v>4</v>
      </c>
      <c r="AJ66" s="26" t="n">
        <v>4</v>
      </c>
      <c r="AK66" s="26" t="n">
        <v>4</v>
      </c>
      <c r="AL66" s="26" t="n">
        <v>4</v>
      </c>
      <c r="AM66" s="26" t="n">
        <v>4</v>
      </c>
      <c r="AN66" s="26" t="n">
        <v>4</v>
      </c>
      <c r="AO66" s="26" t="n">
        <v>2</v>
      </c>
      <c r="AP66" s="26" t="n">
        <v>0</v>
      </c>
      <c r="AQ66" s="26" t="n">
        <v>0</v>
      </c>
      <c r="AR66" s="26" t="n">
        <v>0</v>
      </c>
      <c r="AS66" s="26" t="n">
        <v>0</v>
      </c>
      <c r="AT66" s="26" t="n">
        <v>0</v>
      </c>
    </row>
    <row r="67" ht="15.75" customHeight="1">
      <c r="A67" s="23" t="inlineStr">
        <is>
          <t>TA 3.1 – Realizando el modelo entidad-relación extendido</t>
        </is>
      </c>
      <c r="B67" s="24" t="inlineStr">
        <is>
          <t>Alexander Hanke</t>
        </is>
      </c>
      <c r="C67" s="31" t="inlineStr">
        <is>
          <t>Incremento 2</t>
        </is>
      </c>
      <c r="D67" s="26">
        <f>Planificación!H69</f>
        <v/>
      </c>
      <c r="E67" s="26" t="n">
        <v>8</v>
      </c>
      <c r="F67" s="26" t="n">
        <v>8</v>
      </c>
      <c r="G67" s="26" t="n">
        <v>8</v>
      </c>
      <c r="H67" s="26" t="n">
        <v>8</v>
      </c>
      <c r="I67" s="26" t="n">
        <v>8</v>
      </c>
      <c r="J67" s="26" t="n">
        <v>8</v>
      </c>
      <c r="K67" s="26" t="n">
        <v>8</v>
      </c>
      <c r="L67" s="26" t="n">
        <v>8</v>
      </c>
      <c r="M67" s="26" t="n">
        <v>8</v>
      </c>
      <c r="N67" s="26" t="n">
        <v>8</v>
      </c>
      <c r="O67" s="26" t="n">
        <v>8</v>
      </c>
      <c r="P67" s="26" t="n">
        <v>8</v>
      </c>
      <c r="Q67" s="26" t="n">
        <v>8</v>
      </c>
      <c r="R67" s="26" t="n">
        <v>8</v>
      </c>
      <c r="S67" s="26" t="n">
        <v>8</v>
      </c>
      <c r="T67" s="26" t="n">
        <v>8</v>
      </c>
      <c r="U67" s="26" t="n">
        <v>8</v>
      </c>
      <c r="V67" s="26" t="n">
        <v>8</v>
      </c>
      <c r="W67" s="26" t="n">
        <v>8</v>
      </c>
      <c r="X67" s="26" t="n">
        <v>8</v>
      </c>
      <c r="Y67" s="26" t="n">
        <v>8</v>
      </c>
      <c r="Z67" s="26" t="n">
        <v>8</v>
      </c>
      <c r="AA67" s="26" t="n">
        <v>8</v>
      </c>
      <c r="AB67" s="26" t="n">
        <v>8</v>
      </c>
      <c r="AC67" s="26" t="n">
        <v>8</v>
      </c>
      <c r="AD67" s="26" t="n">
        <v>5</v>
      </c>
      <c r="AE67" s="26" t="n">
        <v>3</v>
      </c>
      <c r="AF67" s="26" t="n">
        <v>0</v>
      </c>
      <c r="AG67" s="26" t="n">
        <v>0</v>
      </c>
      <c r="AH67" s="26" t="n">
        <v>0</v>
      </c>
      <c r="AI67" s="26" t="n">
        <v>0</v>
      </c>
      <c r="AJ67" s="26" t="n">
        <v>0</v>
      </c>
      <c r="AK67" s="26" t="n">
        <v>0</v>
      </c>
      <c r="AL67" s="26" t="n">
        <v>0</v>
      </c>
      <c r="AM67" s="26" t="n">
        <v>0</v>
      </c>
      <c r="AN67" s="26" t="n">
        <v>0</v>
      </c>
      <c r="AO67" s="26" t="n">
        <v>0</v>
      </c>
      <c r="AP67" s="26" t="n">
        <v>0</v>
      </c>
      <c r="AQ67" s="26" t="n">
        <v>0</v>
      </c>
      <c r="AR67" s="26" t="n">
        <v>0</v>
      </c>
      <c r="AS67" s="26" t="n">
        <v>0</v>
      </c>
      <c r="AT67" s="26" t="n">
        <v>0</v>
      </c>
    </row>
    <row r="68" ht="15.75" customHeight="1">
      <c r="A68" s="23" t="inlineStr">
        <is>
          <t>TA 3.2 – Realizando el modelo relacional y la normalización 1FN, 2FN y 3FN</t>
        </is>
      </c>
      <c r="B68" s="24" t="inlineStr">
        <is>
          <t>Alexander Hanke</t>
        </is>
      </c>
      <c r="C68" s="31" t="inlineStr">
        <is>
          <t>Incremento 2</t>
        </is>
      </c>
      <c r="D68" s="26">
        <f>Planificación!H70</f>
        <v/>
      </c>
      <c r="E68" s="26" t="n">
        <v>10</v>
      </c>
      <c r="F68" s="26" t="n">
        <v>10</v>
      </c>
      <c r="G68" s="26" t="n">
        <v>10</v>
      </c>
      <c r="H68" s="26" t="n">
        <v>10</v>
      </c>
      <c r="I68" s="26" t="n">
        <v>10</v>
      </c>
      <c r="J68" s="26" t="n">
        <v>10</v>
      </c>
      <c r="K68" s="26" t="n">
        <v>10</v>
      </c>
      <c r="L68" s="26" t="n">
        <v>10</v>
      </c>
      <c r="M68" s="26" t="n">
        <v>10</v>
      </c>
      <c r="N68" s="26" t="n">
        <v>10</v>
      </c>
      <c r="O68" s="26" t="n">
        <v>10</v>
      </c>
      <c r="P68" s="26" t="n">
        <v>10</v>
      </c>
      <c r="Q68" s="26" t="n">
        <v>10</v>
      </c>
      <c r="R68" s="26" t="n">
        <v>10</v>
      </c>
      <c r="S68" s="26" t="n">
        <v>10</v>
      </c>
      <c r="T68" s="26" t="n">
        <v>10</v>
      </c>
      <c r="U68" s="26" t="n">
        <v>10</v>
      </c>
      <c r="V68" s="26" t="n">
        <v>10</v>
      </c>
      <c r="W68" s="26" t="n">
        <v>10</v>
      </c>
      <c r="X68" s="26" t="n">
        <v>10</v>
      </c>
      <c r="Y68" s="26" t="n">
        <v>10</v>
      </c>
      <c r="Z68" s="26" t="n">
        <v>10</v>
      </c>
      <c r="AA68" s="26" t="n">
        <v>10</v>
      </c>
      <c r="AB68" s="26" t="n">
        <v>10</v>
      </c>
      <c r="AC68" s="26" t="n">
        <v>10</v>
      </c>
      <c r="AD68" s="26" t="n">
        <v>10</v>
      </c>
      <c r="AE68" s="26" t="n">
        <v>10</v>
      </c>
      <c r="AF68" s="26" t="n">
        <v>8</v>
      </c>
      <c r="AG68" s="26" t="n">
        <v>5</v>
      </c>
      <c r="AH68" s="26" t="n">
        <v>2</v>
      </c>
      <c r="AI68" s="26" t="n">
        <v>0</v>
      </c>
      <c r="AJ68" s="26" t="n">
        <v>0</v>
      </c>
      <c r="AK68" s="26" t="n">
        <v>0</v>
      </c>
      <c r="AL68" s="26" t="n">
        <v>0</v>
      </c>
      <c r="AM68" s="26" t="n">
        <v>0</v>
      </c>
      <c r="AN68" s="26" t="n">
        <v>0</v>
      </c>
      <c r="AO68" s="26" t="n">
        <v>0</v>
      </c>
      <c r="AP68" s="26" t="n">
        <v>0</v>
      </c>
      <c r="AQ68" s="26" t="n">
        <v>0</v>
      </c>
      <c r="AR68" s="26" t="n">
        <v>0</v>
      </c>
      <c r="AS68" s="26" t="n">
        <v>0</v>
      </c>
      <c r="AT68" s="26" t="n">
        <v>0</v>
      </c>
    </row>
    <row r="69" ht="15.75" customHeight="1">
      <c r="A69" s="23" t="inlineStr">
        <is>
          <t>TA 3.3 – Realizando el modelo físico de la base de datos</t>
        </is>
      </c>
      <c r="B69" s="24" t="inlineStr">
        <is>
          <t>Roberto Seguel</t>
        </is>
      </c>
      <c r="C69" s="31" t="inlineStr">
        <is>
          <t>Incremento 2</t>
        </is>
      </c>
      <c r="D69" s="26">
        <f>Planificación!H71</f>
        <v/>
      </c>
      <c r="E69" s="26" t="n">
        <v>8</v>
      </c>
      <c r="F69" s="26" t="n">
        <v>8</v>
      </c>
      <c r="G69" s="26" t="n">
        <v>8</v>
      </c>
      <c r="H69" s="26" t="n">
        <v>8</v>
      </c>
      <c r="I69" s="26" t="n">
        <v>8</v>
      </c>
      <c r="J69" s="26" t="n">
        <v>8</v>
      </c>
      <c r="K69" s="26" t="n">
        <v>8</v>
      </c>
      <c r="L69" s="26" t="n">
        <v>8</v>
      </c>
      <c r="M69" s="26" t="n">
        <v>8</v>
      </c>
      <c r="N69" s="26" t="n">
        <v>8</v>
      </c>
      <c r="O69" s="26" t="n">
        <v>8</v>
      </c>
      <c r="P69" s="26" t="n">
        <v>8</v>
      </c>
      <c r="Q69" s="26" t="n">
        <v>8</v>
      </c>
      <c r="R69" s="26" t="n">
        <v>8</v>
      </c>
      <c r="S69" s="26" t="n">
        <v>8</v>
      </c>
      <c r="T69" s="26" t="n">
        <v>8</v>
      </c>
      <c r="U69" s="26" t="n">
        <v>8</v>
      </c>
      <c r="V69" s="26" t="n">
        <v>8</v>
      </c>
      <c r="W69" s="26" t="n">
        <v>8</v>
      </c>
      <c r="X69" s="26" t="n">
        <v>8</v>
      </c>
      <c r="Y69" s="26" t="n">
        <v>8</v>
      </c>
      <c r="Z69" s="26" t="n">
        <v>8</v>
      </c>
      <c r="AA69" s="26" t="n">
        <v>8</v>
      </c>
      <c r="AB69" s="26" t="n">
        <v>8</v>
      </c>
      <c r="AC69" s="26" t="n">
        <v>8</v>
      </c>
      <c r="AD69" s="26" t="n">
        <v>8</v>
      </c>
      <c r="AE69" s="26" t="n">
        <v>8</v>
      </c>
      <c r="AF69" s="26" t="n">
        <v>8</v>
      </c>
      <c r="AG69" s="26" t="n">
        <v>8</v>
      </c>
      <c r="AH69" s="26" t="n">
        <v>5</v>
      </c>
      <c r="AI69" s="26" t="n">
        <v>3</v>
      </c>
      <c r="AJ69" s="26" t="n">
        <v>0</v>
      </c>
      <c r="AK69" s="26" t="n">
        <v>0</v>
      </c>
      <c r="AL69" s="26" t="n">
        <v>0</v>
      </c>
      <c r="AM69" s="26" t="n">
        <v>0</v>
      </c>
      <c r="AN69" s="26" t="n">
        <v>0</v>
      </c>
      <c r="AO69" s="26" t="n">
        <v>0</v>
      </c>
      <c r="AP69" s="26" t="n">
        <v>0</v>
      </c>
      <c r="AQ69" s="26" t="n">
        <v>0</v>
      </c>
      <c r="AR69" s="26" t="n">
        <v>0</v>
      </c>
      <c r="AS69" s="26" t="n">
        <v>0</v>
      </c>
      <c r="AT69" s="26" t="n">
        <v>0</v>
      </c>
    </row>
    <row r="70" ht="15.75" customHeight="1">
      <c r="A70" s="23" t="inlineStr">
        <is>
          <t>TA 3.4 – Realizando el diagrama de componentes de la vista de desarrollo</t>
        </is>
      </c>
      <c r="B70" s="24" t="inlineStr">
        <is>
          <t>Roberto Seguel</t>
        </is>
      </c>
      <c r="C70" s="31" t="inlineStr">
        <is>
          <t>Incremento 2</t>
        </is>
      </c>
      <c r="D70" s="26">
        <f>Planificación!H72</f>
        <v/>
      </c>
      <c r="E70" s="26" t="n">
        <v>6</v>
      </c>
      <c r="F70" s="26" t="n">
        <v>6</v>
      </c>
      <c r="G70" s="26" t="n">
        <v>6</v>
      </c>
      <c r="H70" s="26" t="n">
        <v>6</v>
      </c>
      <c r="I70" s="26" t="n">
        <v>6</v>
      </c>
      <c r="J70" s="26" t="n">
        <v>6</v>
      </c>
      <c r="K70" s="26" t="n">
        <v>6</v>
      </c>
      <c r="L70" s="26" t="n">
        <v>6</v>
      </c>
      <c r="M70" s="26" t="n">
        <v>6</v>
      </c>
      <c r="N70" s="26" t="n">
        <v>6</v>
      </c>
      <c r="O70" s="26" t="n">
        <v>6</v>
      </c>
      <c r="P70" s="26" t="n">
        <v>6</v>
      </c>
      <c r="Q70" s="26" t="n">
        <v>6</v>
      </c>
      <c r="R70" s="26" t="n">
        <v>6</v>
      </c>
      <c r="S70" s="26" t="n">
        <v>6</v>
      </c>
      <c r="T70" s="26" t="n">
        <v>6</v>
      </c>
      <c r="U70" s="26" t="n">
        <v>6</v>
      </c>
      <c r="V70" s="26" t="n">
        <v>6</v>
      </c>
      <c r="W70" s="26" t="n">
        <v>6</v>
      </c>
      <c r="X70" s="26" t="n">
        <v>6</v>
      </c>
      <c r="Y70" s="26" t="n">
        <v>6</v>
      </c>
      <c r="Z70" s="26" t="n">
        <v>6</v>
      </c>
      <c r="AA70" s="26" t="n">
        <v>6</v>
      </c>
      <c r="AB70" s="26" t="n">
        <v>6</v>
      </c>
      <c r="AC70" s="26" t="n">
        <v>6</v>
      </c>
      <c r="AD70" s="26" t="n">
        <v>6</v>
      </c>
      <c r="AE70" s="26" t="n">
        <v>6</v>
      </c>
      <c r="AF70" s="26" t="n">
        <v>6</v>
      </c>
      <c r="AG70" s="26" t="n">
        <v>6</v>
      </c>
      <c r="AH70" s="26" t="n">
        <v>6</v>
      </c>
      <c r="AI70" s="26" t="n">
        <v>4</v>
      </c>
      <c r="AJ70" s="26" t="n">
        <v>2</v>
      </c>
      <c r="AK70" s="26" t="n">
        <v>0</v>
      </c>
      <c r="AL70" s="26" t="n">
        <v>0</v>
      </c>
      <c r="AM70" s="26" t="n">
        <v>0</v>
      </c>
      <c r="AN70" s="26" t="n">
        <v>0</v>
      </c>
      <c r="AO70" s="26" t="n">
        <v>0</v>
      </c>
      <c r="AP70" s="26" t="n">
        <v>0</v>
      </c>
      <c r="AQ70" s="26" t="n">
        <v>0</v>
      </c>
      <c r="AR70" s="26" t="n">
        <v>0</v>
      </c>
      <c r="AS70" s="26" t="n">
        <v>0</v>
      </c>
      <c r="AT70" s="26" t="n">
        <v>0</v>
      </c>
    </row>
    <row r="71" ht="15.75" customHeight="1">
      <c r="A71" s="23" t="inlineStr">
        <is>
          <t>TA 3.5 – Realizando el diagrama de despliegue de la vista física</t>
        </is>
      </c>
      <c r="B71" s="24" t="inlineStr">
        <is>
          <t>Josué Barrera</t>
        </is>
      </c>
      <c r="C71" s="31" t="inlineStr">
        <is>
          <t>Incremento 2</t>
        </is>
      </c>
      <c r="D71" s="26">
        <f>Planificación!H73</f>
        <v/>
      </c>
      <c r="E71" s="26" t="n">
        <v>6</v>
      </c>
      <c r="F71" s="26" t="n">
        <v>6</v>
      </c>
      <c r="G71" s="26" t="n">
        <v>6</v>
      </c>
      <c r="H71" s="26" t="n">
        <v>6</v>
      </c>
      <c r="I71" s="26" t="n">
        <v>6</v>
      </c>
      <c r="J71" s="26" t="n">
        <v>6</v>
      </c>
      <c r="K71" s="26" t="n">
        <v>6</v>
      </c>
      <c r="L71" s="26" t="n">
        <v>6</v>
      </c>
      <c r="M71" s="26" t="n">
        <v>6</v>
      </c>
      <c r="N71" s="26" t="n">
        <v>6</v>
      </c>
      <c r="O71" s="26" t="n">
        <v>6</v>
      </c>
      <c r="P71" s="26" t="n">
        <v>6</v>
      </c>
      <c r="Q71" s="26" t="n">
        <v>6</v>
      </c>
      <c r="R71" s="26" t="n">
        <v>6</v>
      </c>
      <c r="S71" s="26" t="n">
        <v>6</v>
      </c>
      <c r="T71" s="26" t="n">
        <v>6</v>
      </c>
      <c r="U71" s="26" t="n">
        <v>6</v>
      </c>
      <c r="V71" s="26" t="n">
        <v>6</v>
      </c>
      <c r="W71" s="26" t="n">
        <v>6</v>
      </c>
      <c r="X71" s="26" t="n">
        <v>6</v>
      </c>
      <c r="Y71" s="26" t="n">
        <v>6</v>
      </c>
      <c r="Z71" s="26" t="n">
        <v>6</v>
      </c>
      <c r="AA71" s="26" t="n">
        <v>6</v>
      </c>
      <c r="AB71" s="26" t="n">
        <v>6</v>
      </c>
      <c r="AC71" s="26" t="n">
        <v>6</v>
      </c>
      <c r="AD71" s="26" t="n">
        <v>6</v>
      </c>
      <c r="AE71" s="26" t="n">
        <v>6</v>
      </c>
      <c r="AF71" s="26" t="n">
        <v>6</v>
      </c>
      <c r="AG71" s="26" t="n">
        <v>6</v>
      </c>
      <c r="AH71" s="26" t="n">
        <v>6</v>
      </c>
      <c r="AI71" s="26" t="n">
        <v>6</v>
      </c>
      <c r="AJ71" s="26" t="n">
        <v>4</v>
      </c>
      <c r="AK71" s="26" t="n">
        <v>2</v>
      </c>
      <c r="AL71" s="26" t="n">
        <v>0</v>
      </c>
      <c r="AM71" s="26" t="n">
        <v>0</v>
      </c>
      <c r="AN71" s="26" t="n">
        <v>0</v>
      </c>
      <c r="AO71" s="26" t="n">
        <v>0</v>
      </c>
      <c r="AP71" s="26" t="n">
        <v>0</v>
      </c>
      <c r="AQ71" s="26" t="n">
        <v>0</v>
      </c>
      <c r="AR71" s="26" t="n">
        <v>0</v>
      </c>
      <c r="AS71" s="26" t="n">
        <v>0</v>
      </c>
      <c r="AT71" s="26" t="n">
        <v>0</v>
      </c>
    </row>
    <row r="72" ht="15.75" customHeight="1">
      <c r="A72" s="23" t="inlineStr">
        <is>
          <t>TA 3.6 – Realizando los diagramas de secuencia del flujo principal</t>
        </is>
      </c>
      <c r="B72" s="24" t="inlineStr">
        <is>
          <t>Catalina Lino</t>
        </is>
      </c>
      <c r="C72" s="31" t="inlineStr">
        <is>
          <t>Incremento 2</t>
        </is>
      </c>
      <c r="D72" s="26">
        <f>Planificación!H74</f>
        <v/>
      </c>
      <c r="E72" s="26" t="n">
        <v>16</v>
      </c>
      <c r="F72" s="26" t="n">
        <v>16</v>
      </c>
      <c r="G72" s="26" t="n">
        <v>16</v>
      </c>
      <c r="H72" s="26" t="n">
        <v>16</v>
      </c>
      <c r="I72" s="26" t="n">
        <v>16</v>
      </c>
      <c r="J72" s="26" t="n">
        <v>16</v>
      </c>
      <c r="K72" s="26" t="n">
        <v>16</v>
      </c>
      <c r="L72" s="26" t="n">
        <v>16</v>
      </c>
      <c r="M72" s="26" t="n">
        <v>16</v>
      </c>
      <c r="N72" s="26" t="n">
        <v>16</v>
      </c>
      <c r="O72" s="26" t="n">
        <v>16</v>
      </c>
      <c r="P72" s="26" t="n">
        <v>16</v>
      </c>
      <c r="Q72" s="26" t="n">
        <v>16</v>
      </c>
      <c r="R72" s="26" t="n">
        <v>16</v>
      </c>
      <c r="S72" s="26" t="n">
        <v>16</v>
      </c>
      <c r="T72" s="26" t="n">
        <v>16</v>
      </c>
      <c r="U72" s="26" t="n">
        <v>16</v>
      </c>
      <c r="V72" s="26" t="n">
        <v>16</v>
      </c>
      <c r="W72" s="26" t="n">
        <v>16</v>
      </c>
      <c r="X72" s="26" t="n">
        <v>16</v>
      </c>
      <c r="Y72" s="26" t="n">
        <v>16</v>
      </c>
      <c r="Z72" s="26" t="n">
        <v>16</v>
      </c>
      <c r="AA72" s="26" t="n">
        <v>16</v>
      </c>
      <c r="AB72" s="26" t="n">
        <v>16</v>
      </c>
      <c r="AC72" s="26" t="n">
        <v>16</v>
      </c>
      <c r="AD72" s="26" t="n">
        <v>16</v>
      </c>
      <c r="AE72" s="26" t="n">
        <v>16</v>
      </c>
      <c r="AF72" s="26" t="n">
        <v>16</v>
      </c>
      <c r="AG72" s="26" t="n">
        <v>16</v>
      </c>
      <c r="AH72" s="26" t="n">
        <v>14</v>
      </c>
      <c r="AI72" s="26" t="n">
        <v>11</v>
      </c>
      <c r="AJ72" s="26" t="n">
        <v>9</v>
      </c>
      <c r="AK72" s="26" t="n">
        <v>7</v>
      </c>
      <c r="AL72" s="26" t="n">
        <v>5</v>
      </c>
      <c r="AM72" s="26" t="n">
        <v>2</v>
      </c>
      <c r="AN72" s="26" t="n">
        <v>0</v>
      </c>
      <c r="AO72" s="26" t="n">
        <v>0</v>
      </c>
      <c r="AP72" s="26" t="n">
        <v>0</v>
      </c>
      <c r="AQ72" s="26" t="n">
        <v>0</v>
      </c>
      <c r="AR72" s="26" t="n">
        <v>0</v>
      </c>
      <c r="AS72" s="26" t="n">
        <v>0</v>
      </c>
      <c r="AT72" s="26" t="n">
        <v>0</v>
      </c>
    </row>
    <row r="73" ht="15.75" customHeight="1">
      <c r="A73" s="23" t="inlineStr">
        <is>
          <t>TA 3.7 – Realizando los diagramas de secuencia de las excepciones</t>
        </is>
      </c>
      <c r="B73" s="24" t="inlineStr">
        <is>
          <t>Catalina Lino</t>
        </is>
      </c>
      <c r="C73" s="31" t="inlineStr">
        <is>
          <t>Incremento 2</t>
        </is>
      </c>
      <c r="D73" s="26">
        <f>Planificación!H75</f>
        <v/>
      </c>
      <c r="E73" s="26" t="n">
        <v>14</v>
      </c>
      <c r="F73" s="26" t="n">
        <v>14</v>
      </c>
      <c r="G73" s="26" t="n">
        <v>14</v>
      </c>
      <c r="H73" s="26" t="n">
        <v>14</v>
      </c>
      <c r="I73" s="26" t="n">
        <v>14</v>
      </c>
      <c r="J73" s="26" t="n">
        <v>14</v>
      </c>
      <c r="K73" s="26" t="n">
        <v>14</v>
      </c>
      <c r="L73" s="26" t="n">
        <v>14</v>
      </c>
      <c r="M73" s="26" t="n">
        <v>14</v>
      </c>
      <c r="N73" s="26" t="n">
        <v>14</v>
      </c>
      <c r="O73" s="26" t="n">
        <v>14</v>
      </c>
      <c r="P73" s="26" t="n">
        <v>14</v>
      </c>
      <c r="Q73" s="26" t="n">
        <v>14</v>
      </c>
      <c r="R73" s="26" t="n">
        <v>14</v>
      </c>
      <c r="S73" s="26" t="n">
        <v>14</v>
      </c>
      <c r="T73" s="26" t="n">
        <v>14</v>
      </c>
      <c r="U73" s="26" t="n">
        <v>14</v>
      </c>
      <c r="V73" s="26" t="n">
        <v>14</v>
      </c>
      <c r="W73" s="26" t="n">
        <v>14</v>
      </c>
      <c r="X73" s="26" t="n">
        <v>14</v>
      </c>
      <c r="Y73" s="26" t="n">
        <v>14</v>
      </c>
      <c r="Z73" s="26" t="n">
        <v>14</v>
      </c>
      <c r="AA73" s="26" t="n">
        <v>14</v>
      </c>
      <c r="AB73" s="26" t="n">
        <v>14</v>
      </c>
      <c r="AC73" s="26" t="n">
        <v>14</v>
      </c>
      <c r="AD73" s="26" t="n">
        <v>14</v>
      </c>
      <c r="AE73" s="26" t="n">
        <v>14</v>
      </c>
      <c r="AF73" s="26" t="n">
        <v>14</v>
      </c>
      <c r="AG73" s="26" t="n">
        <v>14</v>
      </c>
      <c r="AH73" s="26" t="n">
        <v>14</v>
      </c>
      <c r="AI73" s="26" t="n">
        <v>14</v>
      </c>
      <c r="AJ73" s="26" t="n">
        <v>14</v>
      </c>
      <c r="AK73" s="26" t="n">
        <v>14</v>
      </c>
      <c r="AL73" s="26" t="n">
        <v>11</v>
      </c>
      <c r="AM73" s="26" t="n">
        <v>8</v>
      </c>
      <c r="AN73" s="26" t="n">
        <v>6</v>
      </c>
      <c r="AO73" s="26" t="n">
        <v>3</v>
      </c>
      <c r="AP73" s="26" t="n">
        <v>0</v>
      </c>
      <c r="AQ73" s="26" t="n">
        <v>0</v>
      </c>
      <c r="AR73" s="26" t="n">
        <v>0</v>
      </c>
      <c r="AS73" s="26" t="n">
        <v>0</v>
      </c>
      <c r="AT73" s="26" t="n">
        <v>0</v>
      </c>
    </row>
    <row r="74" ht="15.75" customHeight="1">
      <c r="A74" s="23" t="inlineStr">
        <is>
          <t>TA 3.8 – Diseñando el árbol de navegación del sistema</t>
        </is>
      </c>
      <c r="B74" s="24" t="inlineStr">
        <is>
          <t>Josué Barrera</t>
        </is>
      </c>
      <c r="C74" s="31" t="inlineStr">
        <is>
          <t>Incremento 2</t>
        </is>
      </c>
      <c r="D74" s="26">
        <f>Planificación!H76</f>
        <v/>
      </c>
      <c r="E74" s="26" t="n">
        <v>8</v>
      </c>
      <c r="F74" s="26" t="n">
        <v>8</v>
      </c>
      <c r="G74" s="26" t="n">
        <v>8</v>
      </c>
      <c r="H74" s="26" t="n">
        <v>8</v>
      </c>
      <c r="I74" s="26" t="n">
        <v>8</v>
      </c>
      <c r="J74" s="26" t="n">
        <v>8</v>
      </c>
      <c r="K74" s="26" t="n">
        <v>8</v>
      </c>
      <c r="L74" s="26" t="n">
        <v>8</v>
      </c>
      <c r="M74" s="26" t="n">
        <v>8</v>
      </c>
      <c r="N74" s="26" t="n">
        <v>8</v>
      </c>
      <c r="O74" s="26" t="n">
        <v>8</v>
      </c>
      <c r="P74" s="26" t="n">
        <v>8</v>
      </c>
      <c r="Q74" s="26" t="n">
        <v>8</v>
      </c>
      <c r="R74" s="26" t="n">
        <v>8</v>
      </c>
      <c r="S74" s="26" t="n">
        <v>8</v>
      </c>
      <c r="T74" s="26" t="n">
        <v>8</v>
      </c>
      <c r="U74" s="26" t="n">
        <v>8</v>
      </c>
      <c r="V74" s="26" t="n">
        <v>8</v>
      </c>
      <c r="W74" s="26" t="n">
        <v>8</v>
      </c>
      <c r="X74" s="26" t="n">
        <v>8</v>
      </c>
      <c r="Y74" s="26" t="n">
        <v>8</v>
      </c>
      <c r="Z74" s="26" t="n">
        <v>8</v>
      </c>
      <c r="AA74" s="26" t="n">
        <v>8</v>
      </c>
      <c r="AB74" s="26" t="n">
        <v>8</v>
      </c>
      <c r="AC74" s="26" t="n">
        <v>8</v>
      </c>
      <c r="AD74" s="26" t="n">
        <v>8</v>
      </c>
      <c r="AE74" s="26" t="n">
        <v>8</v>
      </c>
      <c r="AF74" s="26" t="n">
        <v>8</v>
      </c>
      <c r="AG74" s="26" t="n">
        <v>8</v>
      </c>
      <c r="AH74" s="26" t="n">
        <v>8</v>
      </c>
      <c r="AI74" s="26" t="n">
        <v>8</v>
      </c>
      <c r="AJ74" s="26" t="n">
        <v>8</v>
      </c>
      <c r="AK74" s="26" t="n">
        <v>5</v>
      </c>
      <c r="AL74" s="26" t="n">
        <v>3</v>
      </c>
      <c r="AM74" s="26" t="n">
        <v>0</v>
      </c>
      <c r="AN74" s="26" t="n">
        <v>0</v>
      </c>
      <c r="AO74" s="26" t="n">
        <v>0</v>
      </c>
      <c r="AP74" s="26" t="n">
        <v>0</v>
      </c>
      <c r="AQ74" s="26" t="n">
        <v>0</v>
      </c>
      <c r="AR74" s="26" t="n">
        <v>0</v>
      </c>
      <c r="AS74" s="26" t="n">
        <v>0</v>
      </c>
      <c r="AT74" s="26" t="n">
        <v>0</v>
      </c>
    </row>
    <row r="75" ht="15.75" customHeight="1">
      <c r="A75" s="23" t="inlineStr">
        <is>
          <t>TA 4.1 – Redactando la introducción y la propuesta de solución</t>
        </is>
      </c>
      <c r="B75" s="24" t="inlineStr">
        <is>
          <t>Emiliano Fernández</t>
        </is>
      </c>
      <c r="C75" s="31" t="inlineStr">
        <is>
          <t>Incremento 2</t>
        </is>
      </c>
      <c r="D75" s="26">
        <f>Planificación!H77</f>
        <v/>
      </c>
      <c r="E75" s="26" t="n">
        <v>6</v>
      </c>
      <c r="F75" s="26" t="n">
        <v>6</v>
      </c>
      <c r="G75" s="26" t="n">
        <v>6</v>
      </c>
      <c r="H75" s="26" t="n">
        <v>6</v>
      </c>
      <c r="I75" s="26" t="n">
        <v>6</v>
      </c>
      <c r="J75" s="26" t="n">
        <v>6</v>
      </c>
      <c r="K75" s="26" t="n">
        <v>6</v>
      </c>
      <c r="L75" s="26" t="n">
        <v>6</v>
      </c>
      <c r="M75" s="26" t="n">
        <v>6</v>
      </c>
      <c r="N75" s="26" t="n">
        <v>6</v>
      </c>
      <c r="O75" s="26" t="n">
        <v>6</v>
      </c>
      <c r="P75" s="26" t="n">
        <v>6</v>
      </c>
      <c r="Q75" s="26" t="n">
        <v>6</v>
      </c>
      <c r="R75" s="26" t="n">
        <v>6</v>
      </c>
      <c r="S75" s="26" t="n">
        <v>6</v>
      </c>
      <c r="T75" s="26" t="n">
        <v>6</v>
      </c>
      <c r="U75" s="26" t="n">
        <v>6</v>
      </c>
      <c r="V75" s="26" t="n">
        <v>6</v>
      </c>
      <c r="W75" s="26" t="n">
        <v>6</v>
      </c>
      <c r="X75" s="26" t="n">
        <v>6</v>
      </c>
      <c r="Y75" s="26" t="n">
        <v>6</v>
      </c>
      <c r="Z75" s="26" t="n">
        <v>6</v>
      </c>
      <c r="AA75" s="26" t="n">
        <v>6</v>
      </c>
      <c r="AB75" s="26" t="n">
        <v>6</v>
      </c>
      <c r="AC75" s="26" t="n">
        <v>6</v>
      </c>
      <c r="AD75" s="26" t="n">
        <v>6</v>
      </c>
      <c r="AE75" s="26" t="n">
        <v>6</v>
      </c>
      <c r="AF75" s="26" t="n">
        <v>6</v>
      </c>
      <c r="AG75" s="26" t="n">
        <v>4</v>
      </c>
      <c r="AH75" s="26" t="n">
        <v>2</v>
      </c>
      <c r="AI75" s="26" t="n">
        <v>0</v>
      </c>
      <c r="AJ75" s="26" t="n">
        <v>0</v>
      </c>
      <c r="AK75" s="26" t="n">
        <v>0</v>
      </c>
      <c r="AL75" s="26" t="n">
        <v>0</v>
      </c>
      <c r="AM75" s="26" t="n">
        <v>0</v>
      </c>
      <c r="AN75" s="26" t="n">
        <v>0</v>
      </c>
      <c r="AO75" s="26" t="n">
        <v>0</v>
      </c>
      <c r="AP75" s="26" t="n">
        <v>0</v>
      </c>
      <c r="AQ75" s="26" t="n">
        <v>0</v>
      </c>
      <c r="AR75" s="26" t="n">
        <v>0</v>
      </c>
      <c r="AS75" s="26" t="n">
        <v>0</v>
      </c>
      <c r="AT75" s="26" t="n">
        <v>0</v>
      </c>
    </row>
    <row r="76" ht="15.75" customHeight="1">
      <c r="A76" s="23" t="inlineStr">
        <is>
          <t>TA 4.2 – Elaborando el Product Backlog List del incremento 2</t>
        </is>
      </c>
      <c r="B76" s="24" t="inlineStr">
        <is>
          <t>Emiliano Fernández</t>
        </is>
      </c>
      <c r="C76" s="31" t="inlineStr">
        <is>
          <t>Incremento 2</t>
        </is>
      </c>
      <c r="D76" s="26">
        <f>Planificación!H78</f>
        <v/>
      </c>
      <c r="E76" s="26" t="n">
        <v>8</v>
      </c>
      <c r="F76" s="26" t="n">
        <v>8</v>
      </c>
      <c r="G76" s="26" t="n">
        <v>8</v>
      </c>
      <c r="H76" s="26" t="n">
        <v>8</v>
      </c>
      <c r="I76" s="26" t="n">
        <v>8</v>
      </c>
      <c r="J76" s="26" t="n">
        <v>8</v>
      </c>
      <c r="K76" s="26" t="n">
        <v>8</v>
      </c>
      <c r="L76" s="26" t="n">
        <v>8</v>
      </c>
      <c r="M76" s="26" t="n">
        <v>8</v>
      </c>
      <c r="N76" s="26" t="n">
        <v>8</v>
      </c>
      <c r="O76" s="26" t="n">
        <v>8</v>
      </c>
      <c r="P76" s="26" t="n">
        <v>8</v>
      </c>
      <c r="Q76" s="26" t="n">
        <v>8</v>
      </c>
      <c r="R76" s="26" t="n">
        <v>8</v>
      </c>
      <c r="S76" s="26" t="n">
        <v>8</v>
      </c>
      <c r="T76" s="26" t="n">
        <v>8</v>
      </c>
      <c r="U76" s="26" t="n">
        <v>8</v>
      </c>
      <c r="V76" s="26" t="n">
        <v>8</v>
      </c>
      <c r="W76" s="26" t="n">
        <v>8</v>
      </c>
      <c r="X76" s="26" t="n">
        <v>8</v>
      </c>
      <c r="Y76" s="26" t="n">
        <v>8</v>
      </c>
      <c r="Z76" s="26" t="n">
        <v>8</v>
      </c>
      <c r="AA76" s="26" t="n">
        <v>8</v>
      </c>
      <c r="AB76" s="26" t="n">
        <v>8</v>
      </c>
      <c r="AC76" s="26" t="n">
        <v>8</v>
      </c>
      <c r="AD76" s="26" t="n">
        <v>8</v>
      </c>
      <c r="AE76" s="26" t="n">
        <v>8</v>
      </c>
      <c r="AF76" s="26" t="n">
        <v>8</v>
      </c>
      <c r="AG76" s="26" t="n">
        <v>8</v>
      </c>
      <c r="AH76" s="26" t="n">
        <v>5</v>
      </c>
      <c r="AI76" s="26" t="n">
        <v>3</v>
      </c>
      <c r="AJ76" s="26" t="n">
        <v>0</v>
      </c>
      <c r="AK76" s="26" t="n">
        <v>0</v>
      </c>
      <c r="AL76" s="26" t="n">
        <v>0</v>
      </c>
      <c r="AM76" s="26" t="n">
        <v>0</v>
      </c>
      <c r="AN76" s="26" t="n">
        <v>0</v>
      </c>
      <c r="AO76" s="26" t="n">
        <v>0</v>
      </c>
      <c r="AP76" s="26" t="n">
        <v>0</v>
      </c>
      <c r="AQ76" s="26" t="n">
        <v>0</v>
      </c>
      <c r="AR76" s="26" t="n">
        <v>0</v>
      </c>
      <c r="AS76" s="26" t="n">
        <v>0</v>
      </c>
      <c r="AT76" s="26" t="n">
        <v>0</v>
      </c>
    </row>
    <row r="77" ht="15.75" customHeight="1">
      <c r="A77" s="23" t="inlineStr">
        <is>
          <t>TA 4.3 – Elaborando el Product Backlog List heredado del incremento 1</t>
        </is>
      </c>
      <c r="B77" s="24" t="inlineStr">
        <is>
          <t>Rocío Olguín</t>
        </is>
      </c>
      <c r="C77" s="31" t="inlineStr">
        <is>
          <t>Incremento 2</t>
        </is>
      </c>
      <c r="D77" s="26">
        <f>Planificación!H79</f>
        <v/>
      </c>
      <c r="E77" s="26" t="n">
        <v>6</v>
      </c>
      <c r="F77" s="26" t="n">
        <v>6</v>
      </c>
      <c r="G77" s="26" t="n">
        <v>6</v>
      </c>
      <c r="H77" s="26" t="n">
        <v>6</v>
      </c>
      <c r="I77" s="26" t="n">
        <v>6</v>
      </c>
      <c r="J77" s="26" t="n">
        <v>6</v>
      </c>
      <c r="K77" s="26" t="n">
        <v>6</v>
      </c>
      <c r="L77" s="26" t="n">
        <v>6</v>
      </c>
      <c r="M77" s="26" t="n">
        <v>6</v>
      </c>
      <c r="N77" s="26" t="n">
        <v>6</v>
      </c>
      <c r="O77" s="26" t="n">
        <v>6</v>
      </c>
      <c r="P77" s="26" t="n">
        <v>6</v>
      </c>
      <c r="Q77" s="26" t="n">
        <v>6</v>
      </c>
      <c r="R77" s="26" t="n">
        <v>6</v>
      </c>
      <c r="S77" s="26" t="n">
        <v>6</v>
      </c>
      <c r="T77" s="26" t="n">
        <v>6</v>
      </c>
      <c r="U77" s="26" t="n">
        <v>6</v>
      </c>
      <c r="V77" s="26" t="n">
        <v>6</v>
      </c>
      <c r="W77" s="26" t="n">
        <v>6</v>
      </c>
      <c r="X77" s="26" t="n">
        <v>6</v>
      </c>
      <c r="Y77" s="26" t="n">
        <v>6</v>
      </c>
      <c r="Z77" s="26" t="n">
        <v>6</v>
      </c>
      <c r="AA77" s="26" t="n">
        <v>6</v>
      </c>
      <c r="AB77" s="26" t="n">
        <v>6</v>
      </c>
      <c r="AC77" s="26" t="n">
        <v>6</v>
      </c>
      <c r="AD77" s="26" t="n">
        <v>6</v>
      </c>
      <c r="AE77" s="26" t="n">
        <v>6</v>
      </c>
      <c r="AF77" s="26" t="n">
        <v>6</v>
      </c>
      <c r="AG77" s="26" t="n">
        <v>6</v>
      </c>
      <c r="AH77" s="26" t="n">
        <v>6</v>
      </c>
      <c r="AI77" s="26" t="n">
        <v>4</v>
      </c>
      <c r="AJ77" s="26" t="n">
        <v>2</v>
      </c>
      <c r="AK77" s="26" t="n">
        <v>0</v>
      </c>
      <c r="AL77" s="26" t="n">
        <v>0</v>
      </c>
      <c r="AM77" s="26" t="n">
        <v>0</v>
      </c>
      <c r="AN77" s="26" t="n">
        <v>0</v>
      </c>
      <c r="AO77" s="26" t="n">
        <v>0</v>
      </c>
      <c r="AP77" s="26" t="n">
        <v>0</v>
      </c>
      <c r="AQ77" s="26" t="n">
        <v>0</v>
      </c>
      <c r="AR77" s="26" t="n">
        <v>0</v>
      </c>
      <c r="AS77" s="26" t="n">
        <v>0</v>
      </c>
      <c r="AT77" s="26" t="n">
        <v>0</v>
      </c>
    </row>
    <row r="78" ht="15.75" customHeight="1">
      <c r="A78" s="23" t="inlineStr">
        <is>
          <t>TA 4.4 – Construyendo el Sprint Backlog en vista externa</t>
        </is>
      </c>
      <c r="B78" s="24" t="inlineStr">
        <is>
          <t>Rocío Olguín</t>
        </is>
      </c>
      <c r="C78" s="31" t="inlineStr">
        <is>
          <t>Incremento 2</t>
        </is>
      </c>
      <c r="D78" s="26">
        <f>Planificación!H80</f>
        <v/>
      </c>
      <c r="E78" s="26" t="n">
        <v>10</v>
      </c>
      <c r="F78" s="26" t="n">
        <v>10</v>
      </c>
      <c r="G78" s="26" t="n">
        <v>10</v>
      </c>
      <c r="H78" s="26" t="n">
        <v>10</v>
      </c>
      <c r="I78" s="26" t="n">
        <v>10</v>
      </c>
      <c r="J78" s="26" t="n">
        <v>10</v>
      </c>
      <c r="K78" s="26" t="n">
        <v>10</v>
      </c>
      <c r="L78" s="26" t="n">
        <v>10</v>
      </c>
      <c r="M78" s="26" t="n">
        <v>10</v>
      </c>
      <c r="N78" s="26" t="n">
        <v>10</v>
      </c>
      <c r="O78" s="26" t="n">
        <v>10</v>
      </c>
      <c r="P78" s="26" t="n">
        <v>10</v>
      </c>
      <c r="Q78" s="26" t="n">
        <v>10</v>
      </c>
      <c r="R78" s="26" t="n">
        <v>10</v>
      </c>
      <c r="S78" s="26" t="n">
        <v>10</v>
      </c>
      <c r="T78" s="26" t="n">
        <v>10</v>
      </c>
      <c r="U78" s="26" t="n">
        <v>10</v>
      </c>
      <c r="V78" s="26" t="n">
        <v>10</v>
      </c>
      <c r="W78" s="26" t="n">
        <v>10</v>
      </c>
      <c r="X78" s="26" t="n">
        <v>10</v>
      </c>
      <c r="Y78" s="26" t="n">
        <v>10</v>
      </c>
      <c r="Z78" s="26" t="n">
        <v>10</v>
      </c>
      <c r="AA78" s="26" t="n">
        <v>10</v>
      </c>
      <c r="AB78" s="26" t="n">
        <v>10</v>
      </c>
      <c r="AC78" s="26" t="n">
        <v>10</v>
      </c>
      <c r="AD78" s="26" t="n">
        <v>10</v>
      </c>
      <c r="AE78" s="26" t="n">
        <v>10</v>
      </c>
      <c r="AF78" s="26" t="n">
        <v>10</v>
      </c>
      <c r="AG78" s="26" t="n">
        <v>10</v>
      </c>
      <c r="AH78" s="26" t="n">
        <v>10</v>
      </c>
      <c r="AI78" s="26" t="n">
        <v>8</v>
      </c>
      <c r="AJ78" s="26" t="n">
        <v>6</v>
      </c>
      <c r="AK78" s="26" t="n">
        <v>4</v>
      </c>
      <c r="AL78" s="26" t="n">
        <v>2</v>
      </c>
      <c r="AM78" s="26" t="n">
        <v>0</v>
      </c>
      <c r="AN78" s="26" t="n">
        <v>0</v>
      </c>
      <c r="AO78" s="26" t="n">
        <v>0</v>
      </c>
      <c r="AP78" s="26" t="n">
        <v>0</v>
      </c>
      <c r="AQ78" s="26" t="n">
        <v>0</v>
      </c>
      <c r="AR78" s="26" t="n">
        <v>0</v>
      </c>
      <c r="AS78" s="26" t="n">
        <v>0</v>
      </c>
      <c r="AT78" s="26" t="n">
        <v>0</v>
      </c>
    </row>
    <row r="79" ht="15.75" customHeight="1">
      <c r="A79" s="23" t="inlineStr">
        <is>
          <t>TA 4.5 – Elaborando la matriz de ramas del menú habilitadas por rol</t>
        </is>
      </c>
      <c r="B79" s="24" t="inlineStr">
        <is>
          <t>Josué Barrera</t>
        </is>
      </c>
      <c r="C79" s="31" t="inlineStr">
        <is>
          <t>Incremento 2</t>
        </is>
      </c>
      <c r="D79" s="26">
        <f>Planificación!H81</f>
        <v/>
      </c>
      <c r="E79" s="26" t="n">
        <v>4</v>
      </c>
      <c r="F79" s="26" t="n">
        <v>4</v>
      </c>
      <c r="G79" s="26" t="n">
        <v>4</v>
      </c>
      <c r="H79" s="26" t="n">
        <v>4</v>
      </c>
      <c r="I79" s="26" t="n">
        <v>4</v>
      </c>
      <c r="J79" s="26" t="n">
        <v>4</v>
      </c>
      <c r="K79" s="26" t="n">
        <v>4</v>
      </c>
      <c r="L79" s="26" t="n">
        <v>4</v>
      </c>
      <c r="M79" s="26" t="n">
        <v>4</v>
      </c>
      <c r="N79" s="26" t="n">
        <v>4</v>
      </c>
      <c r="O79" s="26" t="n">
        <v>4</v>
      </c>
      <c r="P79" s="26" t="n">
        <v>4</v>
      </c>
      <c r="Q79" s="26" t="n">
        <v>4</v>
      </c>
      <c r="R79" s="26" t="n">
        <v>4</v>
      </c>
      <c r="S79" s="26" t="n">
        <v>4</v>
      </c>
      <c r="T79" s="26" t="n">
        <v>4</v>
      </c>
      <c r="U79" s="26" t="n">
        <v>4</v>
      </c>
      <c r="V79" s="26" t="n">
        <v>4</v>
      </c>
      <c r="W79" s="26" t="n">
        <v>4</v>
      </c>
      <c r="X79" s="26" t="n">
        <v>4</v>
      </c>
      <c r="Y79" s="26" t="n">
        <v>4</v>
      </c>
      <c r="Z79" s="26" t="n">
        <v>4</v>
      </c>
      <c r="AA79" s="26" t="n">
        <v>4</v>
      </c>
      <c r="AB79" s="26" t="n">
        <v>4</v>
      </c>
      <c r="AC79" s="26" t="n">
        <v>4</v>
      </c>
      <c r="AD79" s="26" t="n">
        <v>4</v>
      </c>
      <c r="AE79" s="26" t="n">
        <v>4</v>
      </c>
      <c r="AF79" s="26" t="n">
        <v>4</v>
      </c>
      <c r="AG79" s="26" t="n">
        <v>4</v>
      </c>
      <c r="AH79" s="26" t="n">
        <v>4</v>
      </c>
      <c r="AI79" s="26" t="n">
        <v>4</v>
      </c>
      <c r="AJ79" s="26" t="n">
        <v>4</v>
      </c>
      <c r="AK79" s="26" t="n">
        <v>4</v>
      </c>
      <c r="AL79" s="26" t="n">
        <v>4</v>
      </c>
      <c r="AM79" s="26" t="n">
        <v>2</v>
      </c>
      <c r="AN79" s="26" t="n">
        <v>0</v>
      </c>
      <c r="AO79" s="26" t="n">
        <v>0</v>
      </c>
      <c r="AP79" s="26" t="n">
        <v>0</v>
      </c>
      <c r="AQ79" s="26" t="n">
        <v>0</v>
      </c>
      <c r="AR79" s="26" t="n">
        <v>0</v>
      </c>
      <c r="AS79" s="26" t="n">
        <v>0</v>
      </c>
      <c r="AT79" s="26" t="n">
        <v>0</v>
      </c>
    </row>
    <row r="80" ht="15.75" customHeight="1">
      <c r="A80" s="23" t="inlineStr">
        <is>
          <t>TA 4.6 – Levantando las capturas de pantalla del sistema en ejecución</t>
        </is>
      </c>
      <c r="B80" s="24" t="inlineStr">
        <is>
          <t>Rocío Olguín</t>
        </is>
      </c>
      <c r="C80" s="31" t="inlineStr">
        <is>
          <t>Incremento 2</t>
        </is>
      </c>
      <c r="D80" s="26">
        <f>Planificación!H82</f>
        <v/>
      </c>
      <c r="E80" s="26" t="n">
        <v>12</v>
      </c>
      <c r="F80" s="26" t="n">
        <v>12</v>
      </c>
      <c r="G80" s="26" t="n">
        <v>12</v>
      </c>
      <c r="H80" s="26" t="n">
        <v>12</v>
      </c>
      <c r="I80" s="26" t="n">
        <v>12</v>
      </c>
      <c r="J80" s="26" t="n">
        <v>12</v>
      </c>
      <c r="K80" s="26" t="n">
        <v>12</v>
      </c>
      <c r="L80" s="26" t="n">
        <v>12</v>
      </c>
      <c r="M80" s="26" t="n">
        <v>12</v>
      </c>
      <c r="N80" s="26" t="n">
        <v>12</v>
      </c>
      <c r="O80" s="26" t="n">
        <v>12</v>
      </c>
      <c r="P80" s="26" t="n">
        <v>12</v>
      </c>
      <c r="Q80" s="26" t="n">
        <v>12</v>
      </c>
      <c r="R80" s="26" t="n">
        <v>12</v>
      </c>
      <c r="S80" s="26" t="n">
        <v>12</v>
      </c>
      <c r="T80" s="26" t="n">
        <v>12</v>
      </c>
      <c r="U80" s="26" t="n">
        <v>12</v>
      </c>
      <c r="V80" s="26" t="n">
        <v>12</v>
      </c>
      <c r="W80" s="26" t="n">
        <v>12</v>
      </c>
      <c r="X80" s="26" t="n">
        <v>12</v>
      </c>
      <c r="Y80" s="26" t="n">
        <v>12</v>
      </c>
      <c r="Z80" s="26" t="n">
        <v>12</v>
      </c>
      <c r="AA80" s="26" t="n">
        <v>12</v>
      </c>
      <c r="AB80" s="26" t="n">
        <v>12</v>
      </c>
      <c r="AC80" s="26" t="n">
        <v>12</v>
      </c>
      <c r="AD80" s="26" t="n">
        <v>12</v>
      </c>
      <c r="AE80" s="26" t="n">
        <v>12</v>
      </c>
      <c r="AF80" s="26" t="n">
        <v>12</v>
      </c>
      <c r="AG80" s="26" t="n">
        <v>12</v>
      </c>
      <c r="AH80" s="26" t="n">
        <v>12</v>
      </c>
      <c r="AI80" s="26" t="n">
        <v>12</v>
      </c>
      <c r="AJ80" s="26" t="n">
        <v>12</v>
      </c>
      <c r="AK80" s="26" t="n">
        <v>12</v>
      </c>
      <c r="AL80" s="26" t="n">
        <v>12</v>
      </c>
      <c r="AM80" s="26" t="n">
        <v>12</v>
      </c>
      <c r="AN80" s="26" t="n">
        <v>9</v>
      </c>
      <c r="AO80" s="26" t="n">
        <v>6</v>
      </c>
      <c r="AP80" s="26" t="n">
        <v>3</v>
      </c>
      <c r="AQ80" s="26" t="n">
        <v>0</v>
      </c>
      <c r="AR80" s="26" t="n">
        <v>0</v>
      </c>
      <c r="AS80" s="26" t="n">
        <v>0</v>
      </c>
      <c r="AT80" s="26" t="n">
        <v>0</v>
      </c>
    </row>
    <row r="81" ht="15.75" customHeight="1">
      <c r="A81" s="23" t="inlineStr">
        <is>
          <t>TA 4.7 – Construyendo la tabla de esfuerzo del sprint</t>
        </is>
      </c>
      <c r="B81" s="24" t="inlineStr">
        <is>
          <t>Alexander Hanke</t>
        </is>
      </c>
      <c r="C81" s="31" t="inlineStr">
        <is>
          <t>Incremento 2</t>
        </is>
      </c>
      <c r="D81" s="26">
        <f>Planificación!H83</f>
        <v/>
      </c>
      <c r="E81" s="26" t="n">
        <v>6</v>
      </c>
      <c r="F81" s="26" t="n">
        <v>6</v>
      </c>
      <c r="G81" s="26" t="n">
        <v>6</v>
      </c>
      <c r="H81" s="26" t="n">
        <v>6</v>
      </c>
      <c r="I81" s="26" t="n">
        <v>6</v>
      </c>
      <c r="J81" s="26" t="n">
        <v>6</v>
      </c>
      <c r="K81" s="26" t="n">
        <v>6</v>
      </c>
      <c r="L81" s="26" t="n">
        <v>6</v>
      </c>
      <c r="M81" s="26" t="n">
        <v>6</v>
      </c>
      <c r="N81" s="26" t="n">
        <v>6</v>
      </c>
      <c r="O81" s="26" t="n">
        <v>6</v>
      </c>
      <c r="P81" s="26" t="n">
        <v>6</v>
      </c>
      <c r="Q81" s="26" t="n">
        <v>6</v>
      </c>
      <c r="R81" s="26" t="n">
        <v>6</v>
      </c>
      <c r="S81" s="26" t="n">
        <v>6</v>
      </c>
      <c r="T81" s="26" t="n">
        <v>6</v>
      </c>
      <c r="U81" s="26" t="n">
        <v>6</v>
      </c>
      <c r="V81" s="26" t="n">
        <v>6</v>
      </c>
      <c r="W81" s="26" t="n">
        <v>6</v>
      </c>
      <c r="X81" s="26" t="n">
        <v>6</v>
      </c>
      <c r="Y81" s="26" t="n">
        <v>6</v>
      </c>
      <c r="Z81" s="26" t="n">
        <v>6</v>
      </c>
      <c r="AA81" s="26" t="n">
        <v>6</v>
      </c>
      <c r="AB81" s="26" t="n">
        <v>6</v>
      </c>
      <c r="AC81" s="26" t="n">
        <v>6</v>
      </c>
      <c r="AD81" s="26" t="n">
        <v>6</v>
      </c>
      <c r="AE81" s="26" t="n">
        <v>6</v>
      </c>
      <c r="AF81" s="26" t="n">
        <v>6</v>
      </c>
      <c r="AG81" s="26" t="n">
        <v>6</v>
      </c>
      <c r="AH81" s="26" t="n">
        <v>6</v>
      </c>
      <c r="AI81" s="26" t="n">
        <v>6</v>
      </c>
      <c r="AJ81" s="26" t="n">
        <v>6</v>
      </c>
      <c r="AK81" s="26" t="n">
        <v>6</v>
      </c>
      <c r="AL81" s="26" t="n">
        <v>6</v>
      </c>
      <c r="AM81" s="26" t="n">
        <v>6</v>
      </c>
      <c r="AN81" s="26" t="n">
        <v>6</v>
      </c>
      <c r="AO81" s="26" t="n">
        <v>6</v>
      </c>
      <c r="AP81" s="26" t="n">
        <v>3</v>
      </c>
      <c r="AQ81" s="26" t="n">
        <v>0</v>
      </c>
      <c r="AR81" s="26" t="n">
        <v>0</v>
      </c>
      <c r="AS81" s="26" t="n">
        <v>0</v>
      </c>
      <c r="AT81" s="26" t="n">
        <v>0</v>
      </c>
    </row>
    <row r="82" ht="15.75" customHeight="1">
      <c r="A82" s="23" t="inlineStr">
        <is>
          <t>TA 4.8 – Generando las gráficas de seguimiento burn-down y burn-up</t>
        </is>
      </c>
      <c r="B82" s="24" t="inlineStr">
        <is>
          <t>Alexander Hanke</t>
        </is>
      </c>
      <c r="C82" s="31" t="inlineStr">
        <is>
          <t>Incremento 2</t>
        </is>
      </c>
      <c r="D82" s="26">
        <f>Planificación!H84</f>
        <v/>
      </c>
      <c r="E82" s="26" t="n">
        <v>4</v>
      </c>
      <c r="F82" s="26" t="n">
        <v>4</v>
      </c>
      <c r="G82" s="26" t="n">
        <v>4</v>
      </c>
      <c r="H82" s="26" t="n">
        <v>4</v>
      </c>
      <c r="I82" s="26" t="n">
        <v>4</v>
      </c>
      <c r="J82" s="26" t="n">
        <v>4</v>
      </c>
      <c r="K82" s="26" t="n">
        <v>4</v>
      </c>
      <c r="L82" s="26" t="n">
        <v>4</v>
      </c>
      <c r="M82" s="26" t="n">
        <v>4</v>
      </c>
      <c r="N82" s="26" t="n">
        <v>4</v>
      </c>
      <c r="O82" s="26" t="n">
        <v>4</v>
      </c>
      <c r="P82" s="26" t="n">
        <v>4</v>
      </c>
      <c r="Q82" s="26" t="n">
        <v>4</v>
      </c>
      <c r="R82" s="26" t="n">
        <v>4</v>
      </c>
      <c r="S82" s="26" t="n">
        <v>4</v>
      </c>
      <c r="T82" s="26" t="n">
        <v>4</v>
      </c>
      <c r="U82" s="26" t="n">
        <v>4</v>
      </c>
      <c r="V82" s="26" t="n">
        <v>4</v>
      </c>
      <c r="W82" s="26" t="n">
        <v>4</v>
      </c>
      <c r="X82" s="26" t="n">
        <v>4</v>
      </c>
      <c r="Y82" s="26" t="n">
        <v>4</v>
      </c>
      <c r="Z82" s="26" t="n">
        <v>4</v>
      </c>
      <c r="AA82" s="26" t="n">
        <v>4</v>
      </c>
      <c r="AB82" s="26" t="n">
        <v>4</v>
      </c>
      <c r="AC82" s="26" t="n">
        <v>4</v>
      </c>
      <c r="AD82" s="26" t="n">
        <v>4</v>
      </c>
      <c r="AE82" s="26" t="n">
        <v>4</v>
      </c>
      <c r="AF82" s="26" t="n">
        <v>4</v>
      </c>
      <c r="AG82" s="26" t="n">
        <v>4</v>
      </c>
      <c r="AH82" s="26" t="n">
        <v>4</v>
      </c>
      <c r="AI82" s="26" t="n">
        <v>4</v>
      </c>
      <c r="AJ82" s="26" t="n">
        <v>4</v>
      </c>
      <c r="AK82" s="26" t="n">
        <v>4</v>
      </c>
      <c r="AL82" s="26" t="n">
        <v>4</v>
      </c>
      <c r="AM82" s="26" t="n">
        <v>4</v>
      </c>
      <c r="AN82" s="26" t="n">
        <v>4</v>
      </c>
      <c r="AO82" s="26" t="n">
        <v>4</v>
      </c>
      <c r="AP82" s="26" t="n">
        <v>4</v>
      </c>
      <c r="AQ82" s="26" t="n">
        <v>2</v>
      </c>
      <c r="AR82" s="26" t="n">
        <v>0</v>
      </c>
      <c r="AS82" s="26" t="n">
        <v>0</v>
      </c>
      <c r="AT82" s="26" t="n">
        <v>0</v>
      </c>
    </row>
    <row r="83" ht="15.75" customHeight="1">
      <c r="A83" s="23" t="inlineStr">
        <is>
          <t>TA 4.9 – Redactando el cierre del sprint y el análisis del incremento</t>
        </is>
      </c>
      <c r="B83" s="24" t="inlineStr">
        <is>
          <t>Emiliano Fernández</t>
        </is>
      </c>
      <c r="C83" s="31" t="inlineStr">
        <is>
          <t>Incremento 2</t>
        </is>
      </c>
      <c r="D83" s="26">
        <f>Planificación!H85</f>
        <v/>
      </c>
      <c r="E83" s="26" t="n">
        <v>6</v>
      </c>
      <c r="F83" s="26" t="n">
        <v>6</v>
      </c>
      <c r="G83" s="26" t="n">
        <v>6</v>
      </c>
      <c r="H83" s="26" t="n">
        <v>6</v>
      </c>
      <c r="I83" s="26" t="n">
        <v>6</v>
      </c>
      <c r="J83" s="26" t="n">
        <v>6</v>
      </c>
      <c r="K83" s="26" t="n">
        <v>6</v>
      </c>
      <c r="L83" s="26" t="n">
        <v>6</v>
      </c>
      <c r="M83" s="26" t="n">
        <v>6</v>
      </c>
      <c r="N83" s="26" t="n">
        <v>6</v>
      </c>
      <c r="O83" s="26" t="n">
        <v>6</v>
      </c>
      <c r="P83" s="26" t="n">
        <v>6</v>
      </c>
      <c r="Q83" s="26" t="n">
        <v>6</v>
      </c>
      <c r="R83" s="26" t="n">
        <v>6</v>
      </c>
      <c r="S83" s="26" t="n">
        <v>6</v>
      </c>
      <c r="T83" s="26" t="n">
        <v>6</v>
      </c>
      <c r="U83" s="26" t="n">
        <v>6</v>
      </c>
      <c r="V83" s="26" t="n">
        <v>6</v>
      </c>
      <c r="W83" s="26" t="n">
        <v>6</v>
      </c>
      <c r="X83" s="26" t="n">
        <v>6</v>
      </c>
      <c r="Y83" s="26" t="n">
        <v>6</v>
      </c>
      <c r="Z83" s="26" t="n">
        <v>6</v>
      </c>
      <c r="AA83" s="26" t="n">
        <v>6</v>
      </c>
      <c r="AB83" s="26" t="n">
        <v>6</v>
      </c>
      <c r="AC83" s="26" t="n">
        <v>6</v>
      </c>
      <c r="AD83" s="26" t="n">
        <v>6</v>
      </c>
      <c r="AE83" s="26" t="n">
        <v>6</v>
      </c>
      <c r="AF83" s="26" t="n">
        <v>6</v>
      </c>
      <c r="AG83" s="26" t="n">
        <v>6</v>
      </c>
      <c r="AH83" s="26" t="n">
        <v>6</v>
      </c>
      <c r="AI83" s="26" t="n">
        <v>6</v>
      </c>
      <c r="AJ83" s="26" t="n">
        <v>6</v>
      </c>
      <c r="AK83" s="26" t="n">
        <v>6</v>
      </c>
      <c r="AL83" s="26" t="n">
        <v>6</v>
      </c>
      <c r="AM83" s="26" t="n">
        <v>6</v>
      </c>
      <c r="AN83" s="26" t="n">
        <v>6</v>
      </c>
      <c r="AO83" s="26" t="n">
        <v>6</v>
      </c>
      <c r="AP83" s="26" t="n">
        <v>6</v>
      </c>
      <c r="AQ83" s="26" t="n">
        <v>4</v>
      </c>
      <c r="AR83" s="26" t="n">
        <v>2</v>
      </c>
      <c r="AS83" s="26" t="n">
        <v>0</v>
      </c>
      <c r="AT83" s="26" t="n">
        <v>0</v>
      </c>
    </row>
    <row r="84" ht="15.75" customHeight="1">
      <c r="A84" s="23" t="inlineStr">
        <is>
          <t>TA 4.10 – Consolidando índices, formato y numeración de figuras y tablas</t>
        </is>
      </c>
      <c r="B84" s="24" t="inlineStr">
        <is>
          <t>Rocío Olguín</t>
        </is>
      </c>
      <c r="C84" s="31" t="inlineStr">
        <is>
          <t>Incremento 2</t>
        </is>
      </c>
      <c r="D84" s="26">
        <f>Planificación!H86</f>
        <v/>
      </c>
      <c r="E84" s="26" t="n">
        <v>8</v>
      </c>
      <c r="F84" s="26" t="n">
        <v>8</v>
      </c>
      <c r="G84" s="26" t="n">
        <v>8</v>
      </c>
      <c r="H84" s="26" t="n">
        <v>8</v>
      </c>
      <c r="I84" s="26" t="n">
        <v>8</v>
      </c>
      <c r="J84" s="26" t="n">
        <v>8</v>
      </c>
      <c r="K84" s="26" t="n">
        <v>8</v>
      </c>
      <c r="L84" s="26" t="n">
        <v>8</v>
      </c>
      <c r="M84" s="26" t="n">
        <v>8</v>
      </c>
      <c r="N84" s="26" t="n">
        <v>8</v>
      </c>
      <c r="O84" s="26" t="n">
        <v>8</v>
      </c>
      <c r="P84" s="26" t="n">
        <v>8</v>
      </c>
      <c r="Q84" s="26" t="n">
        <v>8</v>
      </c>
      <c r="R84" s="26" t="n">
        <v>8</v>
      </c>
      <c r="S84" s="26" t="n">
        <v>8</v>
      </c>
      <c r="T84" s="26" t="n">
        <v>8</v>
      </c>
      <c r="U84" s="26" t="n">
        <v>8</v>
      </c>
      <c r="V84" s="26" t="n">
        <v>8</v>
      </c>
      <c r="W84" s="26" t="n">
        <v>8</v>
      </c>
      <c r="X84" s="26" t="n">
        <v>8</v>
      </c>
      <c r="Y84" s="26" t="n">
        <v>8</v>
      </c>
      <c r="Z84" s="26" t="n">
        <v>8</v>
      </c>
      <c r="AA84" s="26" t="n">
        <v>8</v>
      </c>
      <c r="AB84" s="26" t="n">
        <v>8</v>
      </c>
      <c r="AC84" s="26" t="n">
        <v>8</v>
      </c>
      <c r="AD84" s="26" t="n">
        <v>8</v>
      </c>
      <c r="AE84" s="26" t="n">
        <v>8</v>
      </c>
      <c r="AF84" s="26" t="n">
        <v>8</v>
      </c>
      <c r="AG84" s="26" t="n">
        <v>8</v>
      </c>
      <c r="AH84" s="26" t="n">
        <v>8</v>
      </c>
      <c r="AI84" s="26" t="n">
        <v>8</v>
      </c>
      <c r="AJ84" s="26" t="n">
        <v>8</v>
      </c>
      <c r="AK84" s="26" t="n">
        <v>8</v>
      </c>
      <c r="AL84" s="26" t="n">
        <v>8</v>
      </c>
      <c r="AM84" s="26" t="n">
        <v>8</v>
      </c>
      <c r="AN84" s="26" t="n">
        <v>8</v>
      </c>
      <c r="AO84" s="26" t="n">
        <v>8</v>
      </c>
      <c r="AP84" s="26" t="n">
        <v>8</v>
      </c>
      <c r="AQ84" s="26" t="n">
        <v>6</v>
      </c>
      <c r="AR84" s="26" t="n">
        <v>4</v>
      </c>
      <c r="AS84" s="26" t="n">
        <v>2</v>
      </c>
      <c r="AT84" s="26" t="n">
        <v>0</v>
      </c>
    </row>
    <row r="85" ht="15.75" customHeight="1">
      <c r="A85" s="23" t="inlineStr">
        <is>
          <t>TA 4.11 – Preparando los anexos y el Documento 0 corregido</t>
        </is>
      </c>
      <c r="B85" s="24" t="inlineStr">
        <is>
          <t>Roberto Seguel</t>
        </is>
      </c>
      <c r="C85" s="31" t="inlineStr">
        <is>
          <t>Incremento 2</t>
        </is>
      </c>
      <c r="D85" s="26">
        <f>Planificación!H87</f>
        <v/>
      </c>
      <c r="E85" s="26" t="n">
        <v>6</v>
      </c>
      <c r="F85" s="26" t="n">
        <v>6</v>
      </c>
      <c r="G85" s="26" t="n">
        <v>6</v>
      </c>
      <c r="H85" s="26" t="n">
        <v>6</v>
      </c>
      <c r="I85" s="26" t="n">
        <v>6</v>
      </c>
      <c r="J85" s="26" t="n">
        <v>6</v>
      </c>
      <c r="K85" s="26" t="n">
        <v>6</v>
      </c>
      <c r="L85" s="26" t="n">
        <v>6</v>
      </c>
      <c r="M85" s="26" t="n">
        <v>6</v>
      </c>
      <c r="N85" s="26" t="n">
        <v>6</v>
      </c>
      <c r="O85" s="26" t="n">
        <v>6</v>
      </c>
      <c r="P85" s="26" t="n">
        <v>6</v>
      </c>
      <c r="Q85" s="26" t="n">
        <v>6</v>
      </c>
      <c r="R85" s="26" t="n">
        <v>6</v>
      </c>
      <c r="S85" s="26" t="n">
        <v>6</v>
      </c>
      <c r="T85" s="26" t="n">
        <v>6</v>
      </c>
      <c r="U85" s="26" t="n">
        <v>6</v>
      </c>
      <c r="V85" s="26" t="n">
        <v>6</v>
      </c>
      <c r="W85" s="26" t="n">
        <v>6</v>
      </c>
      <c r="X85" s="26" t="n">
        <v>6</v>
      </c>
      <c r="Y85" s="26" t="n">
        <v>6</v>
      </c>
      <c r="Z85" s="26" t="n">
        <v>6</v>
      </c>
      <c r="AA85" s="26" t="n">
        <v>6</v>
      </c>
      <c r="AB85" s="26" t="n">
        <v>6</v>
      </c>
      <c r="AC85" s="26" t="n">
        <v>6</v>
      </c>
      <c r="AD85" s="26" t="n">
        <v>6</v>
      </c>
      <c r="AE85" s="26" t="n">
        <v>6</v>
      </c>
      <c r="AF85" s="26" t="n">
        <v>6</v>
      </c>
      <c r="AG85" s="26" t="n">
        <v>6</v>
      </c>
      <c r="AH85" s="26" t="n">
        <v>6</v>
      </c>
      <c r="AI85" s="26" t="n">
        <v>6</v>
      </c>
      <c r="AJ85" s="26" t="n">
        <v>6</v>
      </c>
      <c r="AK85" s="26" t="n">
        <v>6</v>
      </c>
      <c r="AL85" s="26" t="n">
        <v>6</v>
      </c>
      <c r="AM85" s="26" t="n">
        <v>6</v>
      </c>
      <c r="AN85" s="26" t="n">
        <v>6</v>
      </c>
      <c r="AO85" s="26" t="n">
        <v>6</v>
      </c>
      <c r="AP85" s="26" t="n">
        <v>6</v>
      </c>
      <c r="AQ85" s="26" t="n">
        <v>6</v>
      </c>
      <c r="AR85" s="26" t="n">
        <v>3</v>
      </c>
      <c r="AS85" s="26" t="n">
        <v>0</v>
      </c>
      <c r="AT85" s="26" t="n">
        <v>0</v>
      </c>
    </row>
    <row r="86" ht="15.75" customHeight="1">
      <c r="A86" s="23" t="inlineStr">
        <is>
          <t>TA 4.12 – Documentando las vistas del sistema pantalla por pantalla</t>
        </is>
      </c>
      <c r="B86" s="24" t="inlineStr">
        <is>
          <t>Rocío Olguín</t>
        </is>
      </c>
      <c r="C86" s="31" t="inlineStr">
        <is>
          <t>Incremento 2</t>
        </is>
      </c>
      <c r="D86" s="26">
        <f>Planificación!H88</f>
        <v/>
      </c>
      <c r="E86" s="26" t="n">
        <v>8</v>
      </c>
      <c r="F86" s="26" t="n">
        <v>8</v>
      </c>
      <c r="G86" s="26" t="n">
        <v>8</v>
      </c>
      <c r="H86" s="26" t="n">
        <v>8</v>
      </c>
      <c r="I86" s="26" t="n">
        <v>8</v>
      </c>
      <c r="J86" s="26" t="n">
        <v>8</v>
      </c>
      <c r="K86" s="26" t="n">
        <v>8</v>
      </c>
      <c r="L86" s="26" t="n">
        <v>8</v>
      </c>
      <c r="M86" s="26" t="n">
        <v>8</v>
      </c>
      <c r="N86" s="26" t="n">
        <v>8</v>
      </c>
      <c r="O86" s="26" t="n">
        <v>8</v>
      </c>
      <c r="P86" s="26" t="n">
        <v>8</v>
      </c>
      <c r="Q86" s="26" t="n">
        <v>8</v>
      </c>
      <c r="R86" s="26" t="n">
        <v>8</v>
      </c>
      <c r="S86" s="26" t="n">
        <v>8</v>
      </c>
      <c r="T86" s="26" t="n">
        <v>8</v>
      </c>
      <c r="U86" s="26" t="n">
        <v>8</v>
      </c>
      <c r="V86" s="26" t="n">
        <v>8</v>
      </c>
      <c r="W86" s="26" t="n">
        <v>8</v>
      </c>
      <c r="X86" s="26" t="n">
        <v>8</v>
      </c>
      <c r="Y86" s="26" t="n">
        <v>8</v>
      </c>
      <c r="Z86" s="26" t="n">
        <v>8</v>
      </c>
      <c r="AA86" s="26" t="n">
        <v>8</v>
      </c>
      <c r="AB86" s="26" t="n">
        <v>8</v>
      </c>
      <c r="AC86" s="26" t="n">
        <v>8</v>
      </c>
      <c r="AD86" s="26" t="n">
        <v>8</v>
      </c>
      <c r="AE86" s="26" t="n">
        <v>8</v>
      </c>
      <c r="AF86" s="26" t="n">
        <v>8</v>
      </c>
      <c r="AG86" s="26" t="n">
        <v>8</v>
      </c>
      <c r="AH86" s="26" t="n">
        <v>8</v>
      </c>
      <c r="AI86" s="26" t="n">
        <v>8</v>
      </c>
      <c r="AJ86" s="26" t="n">
        <v>8</v>
      </c>
      <c r="AK86" s="26" t="n">
        <v>8</v>
      </c>
      <c r="AL86" s="26" t="n">
        <v>8</v>
      </c>
      <c r="AM86" s="26" t="n">
        <v>8</v>
      </c>
      <c r="AN86" s="26" t="n">
        <v>8</v>
      </c>
      <c r="AO86" s="26" t="n">
        <v>8</v>
      </c>
      <c r="AP86" s="26" t="n">
        <v>6</v>
      </c>
      <c r="AQ86" s="26" t="n">
        <v>4</v>
      </c>
      <c r="AR86" s="26" t="n">
        <v>2</v>
      </c>
      <c r="AS86" s="26" t="n">
        <v>0</v>
      </c>
      <c r="AT86" s="26" t="n">
        <v>0</v>
      </c>
    </row>
    <row r="87" ht="15.75" customHeight="1">
      <c r="A87" s="23" t="inlineStr">
        <is>
          <t>TA 5.1 – Ejecutando las pruebas de regresión de los casos de uso del incremento 1</t>
        </is>
      </c>
      <c r="B87" s="24" t="inlineStr">
        <is>
          <t>Matías Medina</t>
        </is>
      </c>
      <c r="C87" s="31" t="inlineStr">
        <is>
          <t>Incremento 2</t>
        </is>
      </c>
      <c r="D87" s="26">
        <f>Planificación!H89</f>
        <v/>
      </c>
      <c r="E87" s="26" t="n">
        <v>8</v>
      </c>
      <c r="F87" s="26" t="n">
        <v>8</v>
      </c>
      <c r="G87" s="26" t="n">
        <v>8</v>
      </c>
      <c r="H87" s="26" t="n">
        <v>8</v>
      </c>
      <c r="I87" s="26" t="n">
        <v>8</v>
      </c>
      <c r="J87" s="26" t="n">
        <v>8</v>
      </c>
      <c r="K87" s="26" t="n">
        <v>8</v>
      </c>
      <c r="L87" s="26" t="n">
        <v>8</v>
      </c>
      <c r="M87" s="26" t="n">
        <v>8</v>
      </c>
      <c r="N87" s="26" t="n">
        <v>8</v>
      </c>
      <c r="O87" s="26" t="n">
        <v>8</v>
      </c>
      <c r="P87" s="26" t="n">
        <v>8</v>
      </c>
      <c r="Q87" s="26" t="n">
        <v>8</v>
      </c>
      <c r="R87" s="26" t="n">
        <v>8</v>
      </c>
      <c r="S87" s="26" t="n">
        <v>8</v>
      </c>
      <c r="T87" s="26" t="n">
        <v>8</v>
      </c>
      <c r="U87" s="26" t="n">
        <v>8</v>
      </c>
      <c r="V87" s="26" t="n">
        <v>8</v>
      </c>
      <c r="W87" s="26" t="n">
        <v>8</v>
      </c>
      <c r="X87" s="26" t="n">
        <v>8</v>
      </c>
      <c r="Y87" s="26" t="n">
        <v>8</v>
      </c>
      <c r="Z87" s="26" t="n">
        <v>8</v>
      </c>
      <c r="AA87" s="26" t="n">
        <v>8</v>
      </c>
      <c r="AB87" s="26" t="n">
        <v>8</v>
      </c>
      <c r="AC87" s="26" t="n">
        <v>8</v>
      </c>
      <c r="AD87" s="26" t="n">
        <v>8</v>
      </c>
      <c r="AE87" s="26" t="n">
        <v>8</v>
      </c>
      <c r="AF87" s="26" t="n">
        <v>8</v>
      </c>
      <c r="AG87" s="26" t="n">
        <v>8</v>
      </c>
      <c r="AH87" s="26" t="n">
        <v>8</v>
      </c>
      <c r="AI87" s="26" t="n">
        <v>8</v>
      </c>
      <c r="AJ87" s="26" t="n">
        <v>8</v>
      </c>
      <c r="AK87" s="26" t="n">
        <v>8</v>
      </c>
      <c r="AL87" s="26" t="n">
        <v>8</v>
      </c>
      <c r="AM87" s="26" t="n">
        <v>8</v>
      </c>
      <c r="AN87" s="26" t="n">
        <v>5</v>
      </c>
      <c r="AO87" s="26" t="n">
        <v>3</v>
      </c>
      <c r="AP87" s="26" t="n">
        <v>0</v>
      </c>
      <c r="AQ87" s="26" t="n">
        <v>0</v>
      </c>
      <c r="AR87" s="26" t="n">
        <v>0</v>
      </c>
      <c r="AS87" s="26" t="n">
        <v>0</v>
      </c>
      <c r="AT87" s="26" t="n">
        <v>0</v>
      </c>
    </row>
    <row r="88" ht="15.75" customHeight="1">
      <c r="A88" s="23" t="inlineStr">
        <is>
          <t>TA 5.2 – Documentando las pruebas de casos de uso heredadas</t>
        </is>
      </c>
      <c r="B88" s="24" t="inlineStr">
        <is>
          <t>Emiliano Fernández</t>
        </is>
      </c>
      <c r="C88" s="31" t="inlineStr">
        <is>
          <t>Incremento 2</t>
        </is>
      </c>
      <c r="D88" s="26">
        <f>Planificación!H90</f>
        <v/>
      </c>
      <c r="E88" s="26" t="n">
        <v>6</v>
      </c>
      <c r="F88" s="26" t="n">
        <v>6</v>
      </c>
      <c r="G88" s="26" t="n">
        <v>6</v>
      </c>
      <c r="H88" s="26" t="n">
        <v>6</v>
      </c>
      <c r="I88" s="26" t="n">
        <v>6</v>
      </c>
      <c r="J88" s="26" t="n">
        <v>6</v>
      </c>
      <c r="K88" s="26" t="n">
        <v>6</v>
      </c>
      <c r="L88" s="26" t="n">
        <v>6</v>
      </c>
      <c r="M88" s="26" t="n">
        <v>6</v>
      </c>
      <c r="N88" s="26" t="n">
        <v>6</v>
      </c>
      <c r="O88" s="26" t="n">
        <v>6</v>
      </c>
      <c r="P88" s="26" t="n">
        <v>6</v>
      </c>
      <c r="Q88" s="26" t="n">
        <v>6</v>
      </c>
      <c r="R88" s="26" t="n">
        <v>6</v>
      </c>
      <c r="S88" s="26" t="n">
        <v>6</v>
      </c>
      <c r="T88" s="26" t="n">
        <v>6</v>
      </c>
      <c r="U88" s="26" t="n">
        <v>6</v>
      </c>
      <c r="V88" s="26" t="n">
        <v>6</v>
      </c>
      <c r="W88" s="26" t="n">
        <v>6</v>
      </c>
      <c r="X88" s="26" t="n">
        <v>6</v>
      </c>
      <c r="Y88" s="26" t="n">
        <v>6</v>
      </c>
      <c r="Z88" s="26" t="n">
        <v>6</v>
      </c>
      <c r="AA88" s="26" t="n">
        <v>6</v>
      </c>
      <c r="AB88" s="26" t="n">
        <v>6</v>
      </c>
      <c r="AC88" s="26" t="n">
        <v>6</v>
      </c>
      <c r="AD88" s="26" t="n">
        <v>6</v>
      </c>
      <c r="AE88" s="26" t="n">
        <v>6</v>
      </c>
      <c r="AF88" s="26" t="n">
        <v>6</v>
      </c>
      <c r="AG88" s="26" t="n">
        <v>6</v>
      </c>
      <c r="AH88" s="26" t="n">
        <v>6</v>
      </c>
      <c r="AI88" s="26" t="n">
        <v>6</v>
      </c>
      <c r="AJ88" s="26" t="n">
        <v>6</v>
      </c>
      <c r="AK88" s="26" t="n">
        <v>6</v>
      </c>
      <c r="AL88" s="26" t="n">
        <v>6</v>
      </c>
      <c r="AM88" s="26" t="n">
        <v>6</v>
      </c>
      <c r="AN88" s="26" t="n">
        <v>6</v>
      </c>
      <c r="AO88" s="26" t="n">
        <v>4</v>
      </c>
      <c r="AP88" s="26" t="n">
        <v>2</v>
      </c>
      <c r="AQ88" s="26" t="n">
        <v>0</v>
      </c>
      <c r="AR88" s="26" t="n">
        <v>0</v>
      </c>
      <c r="AS88" s="26" t="n">
        <v>0</v>
      </c>
      <c r="AT88" s="26" t="n">
        <v>0</v>
      </c>
    </row>
    <row r="89" ht="15.75" customHeight="1">
      <c r="A89" s="23" t="inlineStr">
        <is>
          <t>TA 5.3 – Documentando las pruebas de casos de uso del incremento 2</t>
        </is>
      </c>
      <c r="B89" s="24" t="inlineStr">
        <is>
          <t>Catalina Lino</t>
        </is>
      </c>
      <c r="C89" s="31" t="inlineStr">
        <is>
          <t>Incremento 2</t>
        </is>
      </c>
      <c r="D89" s="26">
        <f>Planificación!H91</f>
        <v/>
      </c>
      <c r="E89" s="26" t="n">
        <v>10</v>
      </c>
      <c r="F89" s="26" t="n">
        <v>10</v>
      </c>
      <c r="G89" s="26" t="n">
        <v>10</v>
      </c>
      <c r="H89" s="26" t="n">
        <v>10</v>
      </c>
      <c r="I89" s="26" t="n">
        <v>10</v>
      </c>
      <c r="J89" s="26" t="n">
        <v>10</v>
      </c>
      <c r="K89" s="26" t="n">
        <v>10</v>
      </c>
      <c r="L89" s="26" t="n">
        <v>10</v>
      </c>
      <c r="M89" s="26" t="n">
        <v>10</v>
      </c>
      <c r="N89" s="26" t="n">
        <v>10</v>
      </c>
      <c r="O89" s="26" t="n">
        <v>10</v>
      </c>
      <c r="P89" s="26" t="n">
        <v>10</v>
      </c>
      <c r="Q89" s="26" t="n">
        <v>10</v>
      </c>
      <c r="R89" s="26" t="n">
        <v>10</v>
      </c>
      <c r="S89" s="26" t="n">
        <v>10</v>
      </c>
      <c r="T89" s="26" t="n">
        <v>10</v>
      </c>
      <c r="U89" s="26" t="n">
        <v>10</v>
      </c>
      <c r="V89" s="26" t="n">
        <v>10</v>
      </c>
      <c r="W89" s="26" t="n">
        <v>10</v>
      </c>
      <c r="X89" s="26" t="n">
        <v>10</v>
      </c>
      <c r="Y89" s="26" t="n">
        <v>10</v>
      </c>
      <c r="Z89" s="26" t="n">
        <v>10</v>
      </c>
      <c r="AA89" s="26" t="n">
        <v>10</v>
      </c>
      <c r="AB89" s="26" t="n">
        <v>10</v>
      </c>
      <c r="AC89" s="26" t="n">
        <v>10</v>
      </c>
      <c r="AD89" s="26" t="n">
        <v>10</v>
      </c>
      <c r="AE89" s="26" t="n">
        <v>10</v>
      </c>
      <c r="AF89" s="26" t="n">
        <v>10</v>
      </c>
      <c r="AG89" s="26" t="n">
        <v>10</v>
      </c>
      <c r="AH89" s="26" t="n">
        <v>10</v>
      </c>
      <c r="AI89" s="26" t="n">
        <v>10</v>
      </c>
      <c r="AJ89" s="26" t="n">
        <v>10</v>
      </c>
      <c r="AK89" s="26" t="n">
        <v>10</v>
      </c>
      <c r="AL89" s="26" t="n">
        <v>10</v>
      </c>
      <c r="AM89" s="26" t="n">
        <v>10</v>
      </c>
      <c r="AN89" s="26" t="n">
        <v>10</v>
      </c>
      <c r="AO89" s="26" t="n">
        <v>8</v>
      </c>
      <c r="AP89" s="26" t="n">
        <v>5</v>
      </c>
      <c r="AQ89" s="26" t="n">
        <v>2</v>
      </c>
      <c r="AR89" s="26" t="n">
        <v>0</v>
      </c>
      <c r="AS89" s="26" t="n">
        <v>0</v>
      </c>
      <c r="AT89" s="26" t="n">
        <v>0</v>
      </c>
    </row>
    <row r="90" ht="15.75" customHeight="1">
      <c r="A90" s="23" t="inlineStr">
        <is>
          <t>TA 5.4 – Registrando la evidencia de las tres iteraciones de pruebas</t>
        </is>
      </c>
      <c r="B90" s="24" t="inlineStr">
        <is>
          <t>Josué Barrera</t>
        </is>
      </c>
      <c r="C90" s="31" t="inlineStr">
        <is>
          <t>Incremento 2</t>
        </is>
      </c>
      <c r="D90" s="26">
        <f>Planificación!H92</f>
        <v/>
      </c>
      <c r="E90" s="26" t="n">
        <v>8</v>
      </c>
      <c r="F90" s="26" t="n">
        <v>8</v>
      </c>
      <c r="G90" s="26" t="n">
        <v>8</v>
      </c>
      <c r="H90" s="26" t="n">
        <v>8</v>
      </c>
      <c r="I90" s="26" t="n">
        <v>8</v>
      </c>
      <c r="J90" s="26" t="n">
        <v>8</v>
      </c>
      <c r="K90" s="26" t="n">
        <v>8</v>
      </c>
      <c r="L90" s="26" t="n">
        <v>8</v>
      </c>
      <c r="M90" s="26" t="n">
        <v>8</v>
      </c>
      <c r="N90" s="26" t="n">
        <v>8</v>
      </c>
      <c r="O90" s="26" t="n">
        <v>8</v>
      </c>
      <c r="P90" s="26" t="n">
        <v>8</v>
      </c>
      <c r="Q90" s="26" t="n">
        <v>8</v>
      </c>
      <c r="R90" s="26" t="n">
        <v>8</v>
      </c>
      <c r="S90" s="26" t="n">
        <v>8</v>
      </c>
      <c r="T90" s="26" t="n">
        <v>8</v>
      </c>
      <c r="U90" s="26" t="n">
        <v>8</v>
      </c>
      <c r="V90" s="26" t="n">
        <v>8</v>
      </c>
      <c r="W90" s="26" t="n">
        <v>8</v>
      </c>
      <c r="X90" s="26" t="n">
        <v>8</v>
      </c>
      <c r="Y90" s="26" t="n">
        <v>8</v>
      </c>
      <c r="Z90" s="26" t="n">
        <v>8</v>
      </c>
      <c r="AA90" s="26" t="n">
        <v>8</v>
      </c>
      <c r="AB90" s="26" t="n">
        <v>8</v>
      </c>
      <c r="AC90" s="26" t="n">
        <v>8</v>
      </c>
      <c r="AD90" s="26" t="n">
        <v>8</v>
      </c>
      <c r="AE90" s="26" t="n">
        <v>8</v>
      </c>
      <c r="AF90" s="26" t="n">
        <v>8</v>
      </c>
      <c r="AG90" s="26" t="n">
        <v>8</v>
      </c>
      <c r="AH90" s="26" t="n">
        <v>8</v>
      </c>
      <c r="AI90" s="26" t="n">
        <v>8</v>
      </c>
      <c r="AJ90" s="26" t="n">
        <v>8</v>
      </c>
      <c r="AK90" s="26" t="n">
        <v>8</v>
      </c>
      <c r="AL90" s="26" t="n">
        <v>8</v>
      </c>
      <c r="AM90" s="26" t="n">
        <v>8</v>
      </c>
      <c r="AN90" s="26" t="n">
        <v>8</v>
      </c>
      <c r="AO90" s="26" t="n">
        <v>8</v>
      </c>
      <c r="AP90" s="26" t="n">
        <v>8</v>
      </c>
      <c r="AQ90" s="26" t="n">
        <v>5</v>
      </c>
      <c r="AR90" s="26" t="n">
        <v>3</v>
      </c>
      <c r="AS90" s="26" t="n">
        <v>0</v>
      </c>
      <c r="AT90" s="26" t="n">
        <v>0</v>
      </c>
    </row>
    <row r="91" ht="15.75" customHeight="1">
      <c r="A91" s="23" t="inlineStr">
        <is>
          <t>TA 5.5 – Revisando la coherencia entre el documento y el sistema construido</t>
        </is>
      </c>
      <c r="B91" s="24" t="inlineStr">
        <is>
          <t>Roberto Seguel</t>
        </is>
      </c>
      <c r="C91" s="31" t="inlineStr">
        <is>
          <t>Incremento 2</t>
        </is>
      </c>
      <c r="D91" s="26">
        <f>Planificación!H93</f>
        <v/>
      </c>
      <c r="E91" s="26" t="n">
        <v>6</v>
      </c>
      <c r="F91" s="26" t="n">
        <v>6</v>
      </c>
      <c r="G91" s="26" t="n">
        <v>6</v>
      </c>
      <c r="H91" s="26" t="n">
        <v>6</v>
      </c>
      <c r="I91" s="26" t="n">
        <v>6</v>
      </c>
      <c r="J91" s="26" t="n">
        <v>6</v>
      </c>
      <c r="K91" s="26" t="n">
        <v>6</v>
      </c>
      <c r="L91" s="26" t="n">
        <v>6</v>
      </c>
      <c r="M91" s="26" t="n">
        <v>6</v>
      </c>
      <c r="N91" s="26" t="n">
        <v>6</v>
      </c>
      <c r="O91" s="26" t="n">
        <v>6</v>
      </c>
      <c r="P91" s="26" t="n">
        <v>6</v>
      </c>
      <c r="Q91" s="26" t="n">
        <v>6</v>
      </c>
      <c r="R91" s="26" t="n">
        <v>6</v>
      </c>
      <c r="S91" s="26" t="n">
        <v>6</v>
      </c>
      <c r="T91" s="26" t="n">
        <v>6</v>
      </c>
      <c r="U91" s="26" t="n">
        <v>6</v>
      </c>
      <c r="V91" s="26" t="n">
        <v>6</v>
      </c>
      <c r="W91" s="26" t="n">
        <v>6</v>
      </c>
      <c r="X91" s="26" t="n">
        <v>6</v>
      </c>
      <c r="Y91" s="26" t="n">
        <v>6</v>
      </c>
      <c r="Z91" s="26" t="n">
        <v>6</v>
      </c>
      <c r="AA91" s="26" t="n">
        <v>6</v>
      </c>
      <c r="AB91" s="26" t="n">
        <v>6</v>
      </c>
      <c r="AC91" s="26" t="n">
        <v>6</v>
      </c>
      <c r="AD91" s="26" t="n">
        <v>6</v>
      </c>
      <c r="AE91" s="26" t="n">
        <v>6</v>
      </c>
      <c r="AF91" s="26" t="n">
        <v>6</v>
      </c>
      <c r="AG91" s="26" t="n">
        <v>6</v>
      </c>
      <c r="AH91" s="26" t="n">
        <v>6</v>
      </c>
      <c r="AI91" s="26" t="n">
        <v>6</v>
      </c>
      <c r="AJ91" s="26" t="n">
        <v>6</v>
      </c>
      <c r="AK91" s="26" t="n">
        <v>6</v>
      </c>
      <c r="AL91" s="26" t="n">
        <v>6</v>
      </c>
      <c r="AM91" s="26" t="n">
        <v>6</v>
      </c>
      <c r="AN91" s="26" t="n">
        <v>6</v>
      </c>
      <c r="AO91" s="26" t="n">
        <v>6</v>
      </c>
      <c r="AP91" s="26" t="n">
        <v>6</v>
      </c>
      <c r="AQ91" s="26" t="n">
        <v>6</v>
      </c>
      <c r="AR91" s="26" t="n">
        <v>4</v>
      </c>
      <c r="AS91" s="26" t="n">
        <v>2</v>
      </c>
      <c r="AT91" s="26" t="n">
        <v>0</v>
      </c>
    </row>
    <row r="92" ht="15.75" customHeight="1">
      <c r="A92" s="23" t="inlineStr">
        <is>
          <t>TA 5.6 – Ejecutando la segunda y la tercera iteración de pruebas de caja negra</t>
        </is>
      </c>
      <c r="B92" s="24" t="inlineStr">
        <is>
          <t>Catalina Lino</t>
        </is>
      </c>
      <c r="C92" s="31" t="inlineStr">
        <is>
          <t>Incremento 2</t>
        </is>
      </c>
      <c r="D92" s="26">
        <f>Planificación!H94</f>
        <v/>
      </c>
      <c r="E92" s="26" t="n">
        <v>8</v>
      </c>
      <c r="F92" s="26" t="n">
        <v>8</v>
      </c>
      <c r="G92" s="26" t="n">
        <v>8</v>
      </c>
      <c r="H92" s="26" t="n">
        <v>8</v>
      </c>
      <c r="I92" s="26" t="n">
        <v>8</v>
      </c>
      <c r="J92" s="26" t="n">
        <v>8</v>
      </c>
      <c r="K92" s="26" t="n">
        <v>8</v>
      </c>
      <c r="L92" s="26" t="n">
        <v>8</v>
      </c>
      <c r="M92" s="26" t="n">
        <v>8</v>
      </c>
      <c r="N92" s="26" t="n">
        <v>8</v>
      </c>
      <c r="O92" s="26" t="n">
        <v>8</v>
      </c>
      <c r="P92" s="26" t="n">
        <v>8</v>
      </c>
      <c r="Q92" s="26" t="n">
        <v>8</v>
      </c>
      <c r="R92" s="26" t="n">
        <v>8</v>
      </c>
      <c r="S92" s="26" t="n">
        <v>8</v>
      </c>
      <c r="T92" s="26" t="n">
        <v>8</v>
      </c>
      <c r="U92" s="26" t="n">
        <v>8</v>
      </c>
      <c r="V92" s="26" t="n">
        <v>8</v>
      </c>
      <c r="W92" s="26" t="n">
        <v>8</v>
      </c>
      <c r="X92" s="26" t="n">
        <v>8</v>
      </c>
      <c r="Y92" s="26" t="n">
        <v>8</v>
      </c>
      <c r="Z92" s="26" t="n">
        <v>8</v>
      </c>
      <c r="AA92" s="26" t="n">
        <v>8</v>
      </c>
      <c r="AB92" s="26" t="n">
        <v>8</v>
      </c>
      <c r="AC92" s="26" t="n">
        <v>8</v>
      </c>
      <c r="AD92" s="26" t="n">
        <v>8</v>
      </c>
      <c r="AE92" s="26" t="n">
        <v>8</v>
      </c>
      <c r="AF92" s="26" t="n">
        <v>8</v>
      </c>
      <c r="AG92" s="26" t="n">
        <v>8</v>
      </c>
      <c r="AH92" s="26" t="n">
        <v>8</v>
      </c>
      <c r="AI92" s="26" t="n">
        <v>8</v>
      </c>
      <c r="AJ92" s="26" t="n">
        <v>8</v>
      </c>
      <c r="AK92" s="26" t="n">
        <v>8</v>
      </c>
      <c r="AL92" s="26" t="n">
        <v>8</v>
      </c>
      <c r="AM92" s="26" t="n">
        <v>8</v>
      </c>
      <c r="AN92" s="26" t="n">
        <v>8</v>
      </c>
      <c r="AO92" s="26" t="n">
        <v>8</v>
      </c>
      <c r="AP92" s="26" t="n">
        <v>6</v>
      </c>
      <c r="AQ92" s="26" t="n">
        <v>4</v>
      </c>
      <c r="AR92" s="26" t="n">
        <v>2</v>
      </c>
      <c r="AS92" s="26" t="n">
        <v>0</v>
      </c>
      <c r="AT92" s="26" t="n">
        <v>0</v>
      </c>
    </row>
    <row r="93" ht="15.75" customHeight="1">
      <c r="A93" s="32" t="inlineStr">
        <is>
          <t>Total HH efectivas acumuladas (Incrementos 1 y 2)</t>
        </is>
      </c>
      <c r="B93" s="29" t="n"/>
      <c r="C93" s="29" t="n"/>
      <c r="D93" s="33">
        <f>SUM(D11:D39)+SUM(D41:D92)</f>
        <v/>
      </c>
    </row>
    <row r="94" ht="15.75" customHeight="1">
      <c r="A94" s="49" t="inlineStr">
        <is>
          <t>SPRINT 3 · INCREMENTO 3 (33 tareas)</t>
        </is>
      </c>
      <c r="B94" s="42" t="n"/>
      <c r="C94" s="42" t="n"/>
      <c r="D94" s="42" t="n"/>
      <c r="E94" s="42" t="n"/>
      <c r="F94" s="42" t="n"/>
      <c r="G94" s="42" t="n"/>
      <c r="H94" s="42" t="n"/>
      <c r="I94" s="42" t="n"/>
      <c r="J94" s="42" t="n"/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  <c r="T94" s="42" t="n"/>
      <c r="U94" s="42" t="n"/>
      <c r="V94" s="42" t="n"/>
      <c r="W94" s="42" t="n"/>
      <c r="X94" s="42" t="n"/>
      <c r="Y94" s="42" t="n"/>
      <c r="Z94" s="42" t="n"/>
      <c r="AA94" s="42" t="n"/>
      <c r="AB94" s="42" t="n"/>
      <c r="AC94" s="42" t="n"/>
      <c r="AD94" s="42" t="n"/>
      <c r="AE94" s="42" t="n"/>
      <c r="AF94" s="42" t="n"/>
      <c r="AG94" s="42" t="n"/>
      <c r="AH94" s="42" t="n"/>
      <c r="AI94" s="42" t="n"/>
      <c r="AJ94" s="42" t="n"/>
      <c r="AK94" s="42" t="n"/>
      <c r="AL94" s="42" t="n"/>
      <c r="AM94" s="42" t="n"/>
      <c r="AN94" s="42" t="n"/>
      <c r="AO94" s="42" t="n"/>
      <c r="AP94" s="42" t="n"/>
      <c r="AQ94" s="42" t="n"/>
      <c r="AR94" s="42" t="n"/>
      <c r="AS94" s="42" t="n"/>
      <c r="AT94" s="42" t="n"/>
      <c r="AU94" s="42" t="n"/>
      <c r="AV94" s="42" t="n"/>
      <c r="AW94" s="42" t="n"/>
      <c r="AX94" s="42" t="n"/>
      <c r="AY94" s="42" t="n"/>
      <c r="AZ94" s="42" t="n"/>
      <c r="BA94" s="42" t="n"/>
      <c r="BB94" s="42" t="n"/>
      <c r="BC94" s="42" t="n"/>
      <c r="BD94" s="42" t="n"/>
      <c r="BE94" s="42" t="n"/>
      <c r="BF94" s="42" t="n"/>
      <c r="BG94" s="42" t="n"/>
      <c r="BH94" s="42" t="n"/>
      <c r="BI94" s="42" t="n"/>
      <c r="BJ94" s="42" t="n"/>
      <c r="BK94" s="42" t="n"/>
      <c r="BL94" s="42" t="n"/>
      <c r="BM94" s="42" t="n"/>
    </row>
    <row r="95" ht="15.75" customHeight="1">
      <c r="A95" s="23" t="inlineStr">
        <is>
          <t>TA 1.1 – Ampliando el modelo de datos con las tablas de auditoría y las vistas agregadas para reportes</t>
        </is>
      </c>
      <c r="B95" s="24" t="inlineStr">
        <is>
          <t>Alexander Hanke</t>
        </is>
      </c>
      <c r="C95" s="40" t="inlineStr">
        <is>
          <t>Incremento 3</t>
        </is>
      </c>
      <c r="D95" s="26" t="n"/>
      <c r="E95" s="26" t="n">
        <v>10</v>
      </c>
      <c r="F95" s="26" t="n">
        <v>10</v>
      </c>
      <c r="G95" s="26" t="n">
        <v>10</v>
      </c>
      <c r="H95" s="26" t="n">
        <v>10</v>
      </c>
      <c r="I95" s="26" t="n">
        <v>10</v>
      </c>
      <c r="J95" s="26" t="n">
        <v>10</v>
      </c>
      <c r="K95" s="26" t="n">
        <v>10</v>
      </c>
      <c r="L95" s="26" t="n">
        <v>10</v>
      </c>
      <c r="M95" s="26" t="n">
        <v>10</v>
      </c>
      <c r="N95" s="26" t="n">
        <v>10</v>
      </c>
      <c r="O95" s="26" t="n">
        <v>10</v>
      </c>
      <c r="P95" s="26" t="n">
        <v>10</v>
      </c>
      <c r="Q95" s="26" t="n">
        <v>10</v>
      </c>
      <c r="R95" s="26" t="n">
        <v>10</v>
      </c>
      <c r="S95" s="26" t="n">
        <v>10</v>
      </c>
      <c r="T95" s="26" t="n">
        <v>10</v>
      </c>
      <c r="U95" s="26" t="n">
        <v>10</v>
      </c>
      <c r="V95" s="26" t="n">
        <v>10</v>
      </c>
      <c r="W95" s="26" t="n">
        <v>10</v>
      </c>
      <c r="X95" s="26" t="n">
        <v>10</v>
      </c>
      <c r="Y95" s="26" t="n">
        <v>10</v>
      </c>
      <c r="Z95" s="26" t="n">
        <v>10</v>
      </c>
      <c r="AA95" s="26" t="n">
        <v>10</v>
      </c>
      <c r="AB95" s="26" t="n">
        <v>10</v>
      </c>
      <c r="AC95" s="26" t="n">
        <v>10</v>
      </c>
      <c r="AD95" s="26" t="n">
        <v>10</v>
      </c>
      <c r="AE95" s="26" t="n">
        <v>10</v>
      </c>
      <c r="AF95" s="26" t="n">
        <v>10</v>
      </c>
      <c r="AG95" s="26" t="n">
        <v>10</v>
      </c>
      <c r="AH95" s="26" t="n">
        <v>10</v>
      </c>
      <c r="AI95" s="26" t="n">
        <v>10</v>
      </c>
      <c r="AJ95" s="26" t="n">
        <v>10</v>
      </c>
      <c r="AK95" s="26" t="n">
        <v>10</v>
      </c>
      <c r="AL95" s="26" t="n">
        <v>10</v>
      </c>
      <c r="AM95" s="26" t="n">
        <v>10</v>
      </c>
      <c r="AN95" s="26" t="n">
        <v>10</v>
      </c>
      <c r="AO95" s="26" t="n">
        <v>10</v>
      </c>
      <c r="AP95" s="26" t="n">
        <v>10</v>
      </c>
      <c r="AQ95" s="26" t="n">
        <v>10</v>
      </c>
      <c r="AR95" s="26" t="n">
        <v>10</v>
      </c>
      <c r="AS95" s="26" t="n">
        <v>10</v>
      </c>
      <c r="AT95" s="26" t="n">
        <v>10</v>
      </c>
      <c r="AU95" s="26" t="n">
        <v>10</v>
      </c>
      <c r="AV95" s="26" t="n">
        <v>5</v>
      </c>
      <c r="AW95" s="26" t="n">
        <v>0</v>
      </c>
      <c r="AX95" s="26" t="n">
        <v>0</v>
      </c>
      <c r="AY95" s="26" t="n">
        <v>0</v>
      </c>
      <c r="AZ95" s="26" t="n">
        <v>0</v>
      </c>
      <c r="BA95" s="26" t="n">
        <v>0</v>
      </c>
      <c r="BB95" s="26" t="n">
        <v>0</v>
      </c>
      <c r="BC95" s="26" t="n">
        <v>0</v>
      </c>
      <c r="BD95" s="26" t="n">
        <v>0</v>
      </c>
      <c r="BE95" s="26" t="n">
        <v>0</v>
      </c>
      <c r="BF95" s="26" t="n">
        <v>0</v>
      </c>
      <c r="BG95" s="26" t="n">
        <v>0</v>
      </c>
      <c r="BH95" s="26" t="n">
        <v>0</v>
      </c>
      <c r="BI95" s="26" t="n">
        <v>0</v>
      </c>
      <c r="BJ95" s="26" t="n">
        <v>0</v>
      </c>
      <c r="BK95" s="26" t="n">
        <v>0</v>
      </c>
      <c r="BL95" s="26" t="n">
        <v>0</v>
      </c>
      <c r="BM95" s="26" t="n">
        <v>0</v>
      </c>
    </row>
    <row r="96" ht="15.75" customHeight="1">
      <c r="A96" s="23" t="inlineStr">
        <is>
          <t>TA 1.2 – Generando y aplicando las migraciones del incremento</t>
        </is>
      </c>
      <c r="B96" s="24" t="inlineStr">
        <is>
          <t>Cristóbal López</t>
        </is>
      </c>
      <c r="C96" s="40" t="inlineStr">
        <is>
          <t>Incremento 3</t>
        </is>
      </c>
      <c r="D96" s="26" t="n"/>
      <c r="E96" s="26" t="n">
        <v>4</v>
      </c>
      <c r="F96" s="26" t="n">
        <v>4</v>
      </c>
      <c r="G96" s="26" t="n">
        <v>4</v>
      </c>
      <c r="H96" s="26" t="n">
        <v>4</v>
      </c>
      <c r="I96" s="26" t="n">
        <v>4</v>
      </c>
      <c r="J96" s="26" t="n">
        <v>4</v>
      </c>
      <c r="K96" s="26" t="n">
        <v>4</v>
      </c>
      <c r="L96" s="26" t="n">
        <v>4</v>
      </c>
      <c r="M96" s="26" t="n">
        <v>4</v>
      </c>
      <c r="N96" s="26" t="n">
        <v>4</v>
      </c>
      <c r="O96" s="26" t="n">
        <v>4</v>
      </c>
      <c r="P96" s="26" t="n">
        <v>4</v>
      </c>
      <c r="Q96" s="26" t="n">
        <v>4</v>
      </c>
      <c r="R96" s="26" t="n">
        <v>4</v>
      </c>
      <c r="S96" s="26" t="n">
        <v>4</v>
      </c>
      <c r="T96" s="26" t="n">
        <v>4</v>
      </c>
      <c r="U96" s="26" t="n">
        <v>4</v>
      </c>
      <c r="V96" s="26" t="n">
        <v>4</v>
      </c>
      <c r="W96" s="26" t="n">
        <v>4</v>
      </c>
      <c r="X96" s="26" t="n">
        <v>4</v>
      </c>
      <c r="Y96" s="26" t="n">
        <v>4</v>
      </c>
      <c r="Z96" s="26" t="n">
        <v>4</v>
      </c>
      <c r="AA96" s="26" t="n">
        <v>4</v>
      </c>
      <c r="AB96" s="26" t="n">
        <v>4</v>
      </c>
      <c r="AC96" s="26" t="n">
        <v>4</v>
      </c>
      <c r="AD96" s="26" t="n">
        <v>4</v>
      </c>
      <c r="AE96" s="26" t="n">
        <v>4</v>
      </c>
      <c r="AF96" s="26" t="n">
        <v>4</v>
      </c>
      <c r="AG96" s="26" t="n">
        <v>4</v>
      </c>
      <c r="AH96" s="26" t="n">
        <v>4</v>
      </c>
      <c r="AI96" s="26" t="n">
        <v>4</v>
      </c>
      <c r="AJ96" s="26" t="n">
        <v>4</v>
      </c>
      <c r="AK96" s="26" t="n">
        <v>4</v>
      </c>
      <c r="AL96" s="26" t="n">
        <v>4</v>
      </c>
      <c r="AM96" s="26" t="n">
        <v>4</v>
      </c>
      <c r="AN96" s="26" t="n">
        <v>4</v>
      </c>
      <c r="AO96" s="26" t="n">
        <v>4</v>
      </c>
      <c r="AP96" s="26" t="n">
        <v>4</v>
      </c>
      <c r="AQ96" s="26" t="n">
        <v>4</v>
      </c>
      <c r="AR96" s="26" t="n">
        <v>4</v>
      </c>
      <c r="AS96" s="26" t="n">
        <v>4</v>
      </c>
      <c r="AT96" s="26" t="n">
        <v>4</v>
      </c>
      <c r="AU96" s="26" t="n">
        <v>4</v>
      </c>
      <c r="AV96" s="26" t="n">
        <v>4</v>
      </c>
      <c r="AW96" s="26" t="n">
        <v>0</v>
      </c>
      <c r="AX96" s="26" t="n">
        <v>0</v>
      </c>
      <c r="AY96" s="26" t="n">
        <v>0</v>
      </c>
      <c r="AZ96" s="26" t="n">
        <v>0</v>
      </c>
      <c r="BA96" s="26" t="n">
        <v>0</v>
      </c>
      <c r="BB96" s="26" t="n">
        <v>0</v>
      </c>
      <c r="BC96" s="26" t="n">
        <v>0</v>
      </c>
      <c r="BD96" s="26" t="n">
        <v>0</v>
      </c>
      <c r="BE96" s="26" t="n">
        <v>0</v>
      </c>
      <c r="BF96" s="26" t="n">
        <v>0</v>
      </c>
      <c r="BG96" s="26" t="n">
        <v>0</v>
      </c>
      <c r="BH96" s="26" t="n">
        <v>0</v>
      </c>
      <c r="BI96" s="26" t="n">
        <v>0</v>
      </c>
      <c r="BJ96" s="26" t="n">
        <v>0</v>
      </c>
      <c r="BK96" s="26" t="n">
        <v>0</v>
      </c>
      <c r="BL96" s="26" t="n">
        <v>0</v>
      </c>
      <c r="BM96" s="26" t="n">
        <v>0</v>
      </c>
    </row>
    <row r="97" ht="15.75" customHeight="1">
      <c r="A97" s="23" t="inlineStr">
        <is>
          <t>TA 1.3 – Configurando el job programado de cierre de sesión por inactividad</t>
        </is>
      </c>
      <c r="B97" s="24" t="inlineStr">
        <is>
          <t>Matías Medina</t>
        </is>
      </c>
      <c r="C97" s="40" t="inlineStr">
        <is>
          <t>Incremento 3</t>
        </is>
      </c>
      <c r="D97" s="26" t="n"/>
      <c r="E97" s="26" t="n">
        <v>4</v>
      </c>
      <c r="F97" s="26" t="n">
        <v>4</v>
      </c>
      <c r="G97" s="26" t="n">
        <v>4</v>
      </c>
      <c r="H97" s="26" t="n">
        <v>4</v>
      </c>
      <c r="I97" s="26" t="n">
        <v>4</v>
      </c>
      <c r="J97" s="26" t="n">
        <v>4</v>
      </c>
      <c r="K97" s="26" t="n">
        <v>4</v>
      </c>
      <c r="L97" s="26" t="n">
        <v>4</v>
      </c>
      <c r="M97" s="26" t="n">
        <v>4</v>
      </c>
      <c r="N97" s="26" t="n">
        <v>4</v>
      </c>
      <c r="O97" s="26" t="n">
        <v>4</v>
      </c>
      <c r="P97" s="26" t="n">
        <v>4</v>
      </c>
      <c r="Q97" s="26" t="n">
        <v>4</v>
      </c>
      <c r="R97" s="26" t="n">
        <v>4</v>
      </c>
      <c r="S97" s="26" t="n">
        <v>4</v>
      </c>
      <c r="T97" s="26" t="n">
        <v>4</v>
      </c>
      <c r="U97" s="26" t="n">
        <v>4</v>
      </c>
      <c r="V97" s="26" t="n">
        <v>4</v>
      </c>
      <c r="W97" s="26" t="n">
        <v>4</v>
      </c>
      <c r="X97" s="26" t="n">
        <v>4</v>
      </c>
      <c r="Y97" s="26" t="n">
        <v>4</v>
      </c>
      <c r="Z97" s="26" t="n">
        <v>4</v>
      </c>
      <c r="AA97" s="26" t="n">
        <v>4</v>
      </c>
      <c r="AB97" s="26" t="n">
        <v>4</v>
      </c>
      <c r="AC97" s="26" t="n">
        <v>4</v>
      </c>
      <c r="AD97" s="26" t="n">
        <v>4</v>
      </c>
      <c r="AE97" s="26" t="n">
        <v>4</v>
      </c>
      <c r="AF97" s="26" t="n">
        <v>4</v>
      </c>
      <c r="AG97" s="26" t="n">
        <v>4</v>
      </c>
      <c r="AH97" s="26" t="n">
        <v>4</v>
      </c>
      <c r="AI97" s="26" t="n">
        <v>4</v>
      </c>
      <c r="AJ97" s="26" t="n">
        <v>4</v>
      </c>
      <c r="AK97" s="26" t="n">
        <v>4</v>
      </c>
      <c r="AL97" s="26" t="n">
        <v>4</v>
      </c>
      <c r="AM97" s="26" t="n">
        <v>4</v>
      </c>
      <c r="AN97" s="26" t="n">
        <v>4</v>
      </c>
      <c r="AO97" s="26" t="n">
        <v>4</v>
      </c>
      <c r="AP97" s="26" t="n">
        <v>4</v>
      </c>
      <c r="AQ97" s="26" t="n">
        <v>4</v>
      </c>
      <c r="AR97" s="26" t="n">
        <v>4</v>
      </c>
      <c r="AS97" s="26" t="n">
        <v>4</v>
      </c>
      <c r="AT97" s="26" t="n">
        <v>4</v>
      </c>
      <c r="AU97" s="26" t="n">
        <v>4</v>
      </c>
      <c r="AV97" s="26" t="n">
        <v>4</v>
      </c>
      <c r="AW97" s="26" t="n">
        <v>4</v>
      </c>
      <c r="AX97" s="26" t="n">
        <v>0</v>
      </c>
      <c r="AY97" s="26" t="n">
        <v>0</v>
      </c>
      <c r="AZ97" s="26" t="n">
        <v>0</v>
      </c>
      <c r="BA97" s="26" t="n">
        <v>0</v>
      </c>
      <c r="BB97" s="26" t="n">
        <v>0</v>
      </c>
      <c r="BC97" s="26" t="n">
        <v>0</v>
      </c>
      <c r="BD97" s="26" t="n">
        <v>0</v>
      </c>
      <c r="BE97" s="26" t="n">
        <v>0</v>
      </c>
      <c r="BF97" s="26" t="n">
        <v>0</v>
      </c>
      <c r="BG97" s="26" t="n">
        <v>0</v>
      </c>
      <c r="BH97" s="26" t="n">
        <v>0</v>
      </c>
      <c r="BI97" s="26" t="n">
        <v>0</v>
      </c>
      <c r="BJ97" s="26" t="n">
        <v>0</v>
      </c>
      <c r="BK97" s="26" t="n">
        <v>0</v>
      </c>
      <c r="BL97" s="26" t="n">
        <v>0</v>
      </c>
      <c r="BM97" s="26" t="n">
        <v>0</v>
      </c>
    </row>
    <row r="98" ht="15.75" customHeight="1">
      <c r="A98" s="23" t="inlineStr">
        <is>
          <t>TA 2.1 – Implementando el reporte de consumo consolidado por proyecto</t>
        </is>
      </c>
      <c r="B98" s="24" t="inlineStr">
        <is>
          <t>Matías Medina</t>
        </is>
      </c>
      <c r="C98" s="40" t="inlineStr">
        <is>
          <t>Incremento 3</t>
        </is>
      </c>
      <c r="D98" s="26" t="n"/>
      <c r="E98" s="26" t="n">
        <v>10</v>
      </c>
      <c r="F98" s="26" t="n">
        <v>10</v>
      </c>
      <c r="G98" s="26" t="n">
        <v>10</v>
      </c>
      <c r="H98" s="26" t="n">
        <v>10</v>
      </c>
      <c r="I98" s="26" t="n">
        <v>10</v>
      </c>
      <c r="J98" s="26" t="n">
        <v>10</v>
      </c>
      <c r="K98" s="26" t="n">
        <v>10</v>
      </c>
      <c r="L98" s="26" t="n">
        <v>10</v>
      </c>
      <c r="M98" s="26" t="n">
        <v>10</v>
      </c>
      <c r="N98" s="26" t="n">
        <v>10</v>
      </c>
      <c r="O98" s="26" t="n">
        <v>10</v>
      </c>
      <c r="P98" s="26" t="n">
        <v>10</v>
      </c>
      <c r="Q98" s="26" t="n">
        <v>10</v>
      </c>
      <c r="R98" s="26" t="n">
        <v>10</v>
      </c>
      <c r="S98" s="26" t="n">
        <v>10</v>
      </c>
      <c r="T98" s="26" t="n">
        <v>10</v>
      </c>
      <c r="U98" s="26" t="n">
        <v>10</v>
      </c>
      <c r="V98" s="26" t="n">
        <v>10</v>
      </c>
      <c r="W98" s="26" t="n">
        <v>10</v>
      </c>
      <c r="X98" s="26" t="n">
        <v>10</v>
      </c>
      <c r="Y98" s="26" t="n">
        <v>10</v>
      </c>
      <c r="Z98" s="26" t="n">
        <v>10</v>
      </c>
      <c r="AA98" s="26" t="n">
        <v>10</v>
      </c>
      <c r="AB98" s="26" t="n">
        <v>10</v>
      </c>
      <c r="AC98" s="26" t="n">
        <v>10</v>
      </c>
      <c r="AD98" s="26" t="n">
        <v>10</v>
      </c>
      <c r="AE98" s="26" t="n">
        <v>10</v>
      </c>
      <c r="AF98" s="26" t="n">
        <v>10</v>
      </c>
      <c r="AG98" s="26" t="n">
        <v>10</v>
      </c>
      <c r="AH98" s="26" t="n">
        <v>10</v>
      </c>
      <c r="AI98" s="26" t="n">
        <v>10</v>
      </c>
      <c r="AJ98" s="26" t="n">
        <v>10</v>
      </c>
      <c r="AK98" s="26" t="n">
        <v>10</v>
      </c>
      <c r="AL98" s="26" t="n">
        <v>10</v>
      </c>
      <c r="AM98" s="26" t="n">
        <v>10</v>
      </c>
      <c r="AN98" s="26" t="n">
        <v>10</v>
      </c>
      <c r="AO98" s="26" t="n">
        <v>10</v>
      </c>
      <c r="AP98" s="26" t="n">
        <v>10</v>
      </c>
      <c r="AQ98" s="26" t="n">
        <v>10</v>
      </c>
      <c r="AR98" s="26" t="n">
        <v>10</v>
      </c>
      <c r="AS98" s="26" t="n">
        <v>10</v>
      </c>
      <c r="AT98" s="26" t="n">
        <v>10</v>
      </c>
      <c r="AU98" s="26" t="n">
        <v>10</v>
      </c>
      <c r="AV98" s="26" t="n">
        <v>10</v>
      </c>
      <c r="AW98" s="26" t="n">
        <v>10</v>
      </c>
      <c r="AX98" s="26" t="n">
        <v>5</v>
      </c>
      <c r="AY98" s="26" t="n">
        <v>0</v>
      </c>
      <c r="AZ98" s="26" t="n">
        <v>0</v>
      </c>
      <c r="BA98" s="26" t="n">
        <v>0</v>
      </c>
      <c r="BB98" s="26" t="n">
        <v>0</v>
      </c>
      <c r="BC98" s="26" t="n">
        <v>0</v>
      </c>
      <c r="BD98" s="26" t="n">
        <v>0</v>
      </c>
      <c r="BE98" s="26" t="n">
        <v>0</v>
      </c>
      <c r="BF98" s="26" t="n">
        <v>0</v>
      </c>
      <c r="BG98" s="26" t="n">
        <v>0</v>
      </c>
      <c r="BH98" s="26" t="n">
        <v>0</v>
      </c>
      <c r="BI98" s="26" t="n">
        <v>0</v>
      </c>
      <c r="BJ98" s="26" t="n">
        <v>0</v>
      </c>
      <c r="BK98" s="26" t="n">
        <v>0</v>
      </c>
      <c r="BL98" s="26" t="n">
        <v>0</v>
      </c>
      <c r="BM98" s="26" t="n">
        <v>0</v>
      </c>
    </row>
    <row r="99" ht="15.75" customHeight="1">
      <c r="A99" s="23" t="inlineStr">
        <is>
          <t>TA 2.2 – Implementando el reporte de Desviación Presupuestaria</t>
        </is>
      </c>
      <c r="B99" s="24" t="inlineStr">
        <is>
          <t>Cristóbal López</t>
        </is>
      </c>
      <c r="C99" s="40" t="inlineStr">
        <is>
          <t>Incremento 3</t>
        </is>
      </c>
      <c r="D99" s="26" t="n"/>
      <c r="E99" s="26" t="n">
        <v>8</v>
      </c>
      <c r="F99" s="26" t="n">
        <v>8</v>
      </c>
      <c r="G99" s="26" t="n">
        <v>8</v>
      </c>
      <c r="H99" s="26" t="n">
        <v>8</v>
      </c>
      <c r="I99" s="26" t="n">
        <v>8</v>
      </c>
      <c r="J99" s="26" t="n">
        <v>8</v>
      </c>
      <c r="K99" s="26" t="n">
        <v>8</v>
      </c>
      <c r="L99" s="26" t="n">
        <v>8</v>
      </c>
      <c r="M99" s="26" t="n">
        <v>8</v>
      </c>
      <c r="N99" s="26" t="n">
        <v>8</v>
      </c>
      <c r="O99" s="26" t="n">
        <v>8</v>
      </c>
      <c r="P99" s="26" t="n">
        <v>8</v>
      </c>
      <c r="Q99" s="26" t="n">
        <v>8</v>
      </c>
      <c r="R99" s="26" t="n">
        <v>8</v>
      </c>
      <c r="S99" s="26" t="n">
        <v>8</v>
      </c>
      <c r="T99" s="26" t="n">
        <v>8</v>
      </c>
      <c r="U99" s="26" t="n">
        <v>8</v>
      </c>
      <c r="V99" s="26" t="n">
        <v>8</v>
      </c>
      <c r="W99" s="26" t="n">
        <v>8</v>
      </c>
      <c r="X99" s="26" t="n">
        <v>8</v>
      </c>
      <c r="Y99" s="26" t="n">
        <v>8</v>
      </c>
      <c r="Z99" s="26" t="n">
        <v>8</v>
      </c>
      <c r="AA99" s="26" t="n">
        <v>8</v>
      </c>
      <c r="AB99" s="26" t="n">
        <v>8</v>
      </c>
      <c r="AC99" s="26" t="n">
        <v>8</v>
      </c>
      <c r="AD99" s="26" t="n">
        <v>8</v>
      </c>
      <c r="AE99" s="26" t="n">
        <v>8</v>
      </c>
      <c r="AF99" s="26" t="n">
        <v>8</v>
      </c>
      <c r="AG99" s="26" t="n">
        <v>8</v>
      </c>
      <c r="AH99" s="26" t="n">
        <v>8</v>
      </c>
      <c r="AI99" s="26" t="n">
        <v>8</v>
      </c>
      <c r="AJ99" s="26" t="n">
        <v>8</v>
      </c>
      <c r="AK99" s="26" t="n">
        <v>8</v>
      </c>
      <c r="AL99" s="26" t="n">
        <v>8</v>
      </c>
      <c r="AM99" s="26" t="n">
        <v>8</v>
      </c>
      <c r="AN99" s="26" t="n">
        <v>8</v>
      </c>
      <c r="AO99" s="26" t="n">
        <v>8</v>
      </c>
      <c r="AP99" s="26" t="n">
        <v>8</v>
      </c>
      <c r="AQ99" s="26" t="n">
        <v>8</v>
      </c>
      <c r="AR99" s="26" t="n">
        <v>8</v>
      </c>
      <c r="AS99" s="26" t="n">
        <v>8</v>
      </c>
      <c r="AT99" s="26" t="n">
        <v>8</v>
      </c>
      <c r="AU99" s="26" t="n">
        <v>8</v>
      </c>
      <c r="AV99" s="26" t="n">
        <v>8</v>
      </c>
      <c r="AW99" s="26" t="n">
        <v>8</v>
      </c>
      <c r="AX99" s="26" t="n">
        <v>8</v>
      </c>
      <c r="AY99" s="26" t="n">
        <v>4</v>
      </c>
      <c r="AZ99" s="26" t="n">
        <v>0</v>
      </c>
      <c r="BA99" s="26" t="n">
        <v>0</v>
      </c>
      <c r="BB99" s="26" t="n">
        <v>0</v>
      </c>
      <c r="BC99" s="26" t="n">
        <v>0</v>
      </c>
      <c r="BD99" s="26" t="n">
        <v>0</v>
      </c>
      <c r="BE99" s="26" t="n">
        <v>0</v>
      </c>
      <c r="BF99" s="26" t="n">
        <v>0</v>
      </c>
      <c r="BG99" s="26" t="n">
        <v>0</v>
      </c>
      <c r="BH99" s="26" t="n">
        <v>0</v>
      </c>
      <c r="BI99" s="26" t="n">
        <v>0</v>
      </c>
      <c r="BJ99" s="26" t="n">
        <v>0</v>
      </c>
      <c r="BK99" s="26" t="n">
        <v>0</v>
      </c>
      <c r="BL99" s="26" t="n">
        <v>0</v>
      </c>
      <c r="BM99" s="26" t="n">
        <v>0</v>
      </c>
    </row>
    <row r="100" ht="15.75" customHeight="1">
      <c r="A100" s="23" t="inlineStr">
        <is>
          <t>TA 2.3 – Implementando el reporte de Mermas y Pérdidas</t>
        </is>
      </c>
      <c r="B100" s="24" t="inlineStr">
        <is>
          <t>Matías Medina</t>
        </is>
      </c>
      <c r="C100" s="40" t="inlineStr">
        <is>
          <t>Incremento 3</t>
        </is>
      </c>
      <c r="D100" s="26" t="n"/>
      <c r="E100" s="26" t="n">
        <v>8</v>
      </c>
      <c r="F100" s="26" t="n">
        <v>8</v>
      </c>
      <c r="G100" s="26" t="n">
        <v>8</v>
      </c>
      <c r="H100" s="26" t="n">
        <v>8</v>
      </c>
      <c r="I100" s="26" t="n">
        <v>8</v>
      </c>
      <c r="J100" s="26" t="n">
        <v>8</v>
      </c>
      <c r="K100" s="26" t="n">
        <v>8</v>
      </c>
      <c r="L100" s="26" t="n">
        <v>8</v>
      </c>
      <c r="M100" s="26" t="n">
        <v>8</v>
      </c>
      <c r="N100" s="26" t="n">
        <v>8</v>
      </c>
      <c r="O100" s="26" t="n">
        <v>8</v>
      </c>
      <c r="P100" s="26" t="n">
        <v>8</v>
      </c>
      <c r="Q100" s="26" t="n">
        <v>8</v>
      </c>
      <c r="R100" s="26" t="n">
        <v>8</v>
      </c>
      <c r="S100" s="26" t="n">
        <v>8</v>
      </c>
      <c r="T100" s="26" t="n">
        <v>8</v>
      </c>
      <c r="U100" s="26" t="n">
        <v>8</v>
      </c>
      <c r="V100" s="26" t="n">
        <v>8</v>
      </c>
      <c r="W100" s="26" t="n">
        <v>8</v>
      </c>
      <c r="X100" s="26" t="n">
        <v>8</v>
      </c>
      <c r="Y100" s="26" t="n">
        <v>8</v>
      </c>
      <c r="Z100" s="26" t="n">
        <v>8</v>
      </c>
      <c r="AA100" s="26" t="n">
        <v>8</v>
      </c>
      <c r="AB100" s="26" t="n">
        <v>8</v>
      </c>
      <c r="AC100" s="26" t="n">
        <v>8</v>
      </c>
      <c r="AD100" s="26" t="n">
        <v>8</v>
      </c>
      <c r="AE100" s="26" t="n">
        <v>8</v>
      </c>
      <c r="AF100" s="26" t="n">
        <v>8</v>
      </c>
      <c r="AG100" s="26" t="n">
        <v>8</v>
      </c>
      <c r="AH100" s="26" t="n">
        <v>8</v>
      </c>
      <c r="AI100" s="26" t="n">
        <v>8</v>
      </c>
      <c r="AJ100" s="26" t="n">
        <v>8</v>
      </c>
      <c r="AK100" s="26" t="n">
        <v>8</v>
      </c>
      <c r="AL100" s="26" t="n">
        <v>8</v>
      </c>
      <c r="AM100" s="26" t="n">
        <v>8</v>
      </c>
      <c r="AN100" s="26" t="n">
        <v>8</v>
      </c>
      <c r="AO100" s="26" t="n">
        <v>8</v>
      </c>
      <c r="AP100" s="26" t="n">
        <v>8</v>
      </c>
      <c r="AQ100" s="26" t="n">
        <v>8</v>
      </c>
      <c r="AR100" s="26" t="n">
        <v>8</v>
      </c>
      <c r="AS100" s="26" t="n">
        <v>8</v>
      </c>
      <c r="AT100" s="26" t="n">
        <v>8</v>
      </c>
      <c r="AU100" s="26" t="n">
        <v>8</v>
      </c>
      <c r="AV100" s="26" t="n">
        <v>8</v>
      </c>
      <c r="AW100" s="26" t="n">
        <v>8</v>
      </c>
      <c r="AX100" s="26" t="n">
        <v>8</v>
      </c>
      <c r="AY100" s="26" t="n">
        <v>8</v>
      </c>
      <c r="AZ100" s="26" t="n">
        <v>4</v>
      </c>
      <c r="BA100" s="26" t="n">
        <v>0</v>
      </c>
      <c r="BB100" s="26" t="n">
        <v>0</v>
      </c>
      <c r="BC100" s="26" t="n">
        <v>0</v>
      </c>
      <c r="BD100" s="26" t="n">
        <v>0</v>
      </c>
      <c r="BE100" s="26" t="n">
        <v>0</v>
      </c>
      <c r="BF100" s="26" t="n">
        <v>0</v>
      </c>
      <c r="BG100" s="26" t="n">
        <v>0</v>
      </c>
      <c r="BH100" s="26" t="n">
        <v>0</v>
      </c>
      <c r="BI100" s="26" t="n">
        <v>0</v>
      </c>
      <c r="BJ100" s="26" t="n">
        <v>0</v>
      </c>
      <c r="BK100" s="26" t="n">
        <v>0</v>
      </c>
      <c r="BL100" s="26" t="n">
        <v>0</v>
      </c>
      <c r="BM100" s="26" t="n">
        <v>0</v>
      </c>
    </row>
    <row r="101" ht="15.75" customHeight="1">
      <c r="A101" s="23" t="inlineStr">
        <is>
          <t>TA 2.4 – Implementando el historial de compras por proveedor</t>
        </is>
      </c>
      <c r="B101" s="24" t="inlineStr">
        <is>
          <t>Cristóbal López</t>
        </is>
      </c>
      <c r="C101" s="40" t="inlineStr">
        <is>
          <t>Incremento 3</t>
        </is>
      </c>
      <c r="D101" s="26" t="n"/>
      <c r="E101" s="26" t="n">
        <v>6</v>
      </c>
      <c r="F101" s="26" t="n">
        <v>6</v>
      </c>
      <c r="G101" s="26" t="n">
        <v>6</v>
      </c>
      <c r="H101" s="26" t="n">
        <v>6</v>
      </c>
      <c r="I101" s="26" t="n">
        <v>6</v>
      </c>
      <c r="J101" s="26" t="n">
        <v>6</v>
      </c>
      <c r="K101" s="26" t="n">
        <v>6</v>
      </c>
      <c r="L101" s="26" t="n">
        <v>6</v>
      </c>
      <c r="M101" s="26" t="n">
        <v>6</v>
      </c>
      <c r="N101" s="26" t="n">
        <v>6</v>
      </c>
      <c r="O101" s="26" t="n">
        <v>6</v>
      </c>
      <c r="P101" s="26" t="n">
        <v>6</v>
      </c>
      <c r="Q101" s="26" t="n">
        <v>6</v>
      </c>
      <c r="R101" s="26" t="n">
        <v>6</v>
      </c>
      <c r="S101" s="26" t="n">
        <v>6</v>
      </c>
      <c r="T101" s="26" t="n">
        <v>6</v>
      </c>
      <c r="U101" s="26" t="n">
        <v>6</v>
      </c>
      <c r="V101" s="26" t="n">
        <v>6</v>
      </c>
      <c r="W101" s="26" t="n">
        <v>6</v>
      </c>
      <c r="X101" s="26" t="n">
        <v>6</v>
      </c>
      <c r="Y101" s="26" t="n">
        <v>6</v>
      </c>
      <c r="Z101" s="26" t="n">
        <v>6</v>
      </c>
      <c r="AA101" s="26" t="n">
        <v>6</v>
      </c>
      <c r="AB101" s="26" t="n">
        <v>6</v>
      </c>
      <c r="AC101" s="26" t="n">
        <v>6</v>
      </c>
      <c r="AD101" s="26" t="n">
        <v>6</v>
      </c>
      <c r="AE101" s="26" t="n">
        <v>6</v>
      </c>
      <c r="AF101" s="26" t="n">
        <v>6</v>
      </c>
      <c r="AG101" s="26" t="n">
        <v>6</v>
      </c>
      <c r="AH101" s="26" t="n">
        <v>6</v>
      </c>
      <c r="AI101" s="26" t="n">
        <v>6</v>
      </c>
      <c r="AJ101" s="26" t="n">
        <v>6</v>
      </c>
      <c r="AK101" s="26" t="n">
        <v>6</v>
      </c>
      <c r="AL101" s="26" t="n">
        <v>6</v>
      </c>
      <c r="AM101" s="26" t="n">
        <v>6</v>
      </c>
      <c r="AN101" s="26" t="n">
        <v>6</v>
      </c>
      <c r="AO101" s="26" t="n">
        <v>6</v>
      </c>
      <c r="AP101" s="26" t="n">
        <v>6</v>
      </c>
      <c r="AQ101" s="26" t="n">
        <v>6</v>
      </c>
      <c r="AR101" s="26" t="n">
        <v>6</v>
      </c>
      <c r="AS101" s="26" t="n">
        <v>6</v>
      </c>
      <c r="AT101" s="26" t="n">
        <v>6</v>
      </c>
      <c r="AU101" s="26" t="n">
        <v>6</v>
      </c>
      <c r="AV101" s="26" t="n">
        <v>6</v>
      </c>
      <c r="AW101" s="26" t="n">
        <v>6</v>
      </c>
      <c r="AX101" s="26" t="n">
        <v>6</v>
      </c>
      <c r="AY101" s="26" t="n">
        <v>6</v>
      </c>
      <c r="AZ101" s="26" t="n">
        <v>6</v>
      </c>
      <c r="BA101" s="26" t="n">
        <v>3</v>
      </c>
      <c r="BB101" s="26" t="n">
        <v>0</v>
      </c>
      <c r="BC101" s="26" t="n">
        <v>0</v>
      </c>
      <c r="BD101" s="26" t="n">
        <v>0</v>
      </c>
      <c r="BE101" s="26" t="n">
        <v>0</v>
      </c>
      <c r="BF101" s="26" t="n">
        <v>0</v>
      </c>
      <c r="BG101" s="26" t="n">
        <v>0</v>
      </c>
      <c r="BH101" s="26" t="n">
        <v>0</v>
      </c>
      <c r="BI101" s="26" t="n">
        <v>0</v>
      </c>
      <c r="BJ101" s="26" t="n">
        <v>0</v>
      </c>
      <c r="BK101" s="26" t="n">
        <v>0</v>
      </c>
      <c r="BL101" s="26" t="n">
        <v>0</v>
      </c>
      <c r="BM101" s="26" t="n">
        <v>0</v>
      </c>
    </row>
    <row r="102" ht="15.75" customHeight="1">
      <c r="A102" s="23" t="inlineStr">
        <is>
          <t>TA 2.5 – Implementando la exportación de reportes a Excel y PDF</t>
        </is>
      </c>
      <c r="B102" s="24" t="inlineStr">
        <is>
          <t>Matías Medina</t>
        </is>
      </c>
      <c r="C102" s="40" t="inlineStr">
        <is>
          <t>Incremento 3</t>
        </is>
      </c>
      <c r="D102" s="26" t="n"/>
      <c r="E102" s="26" t="n">
        <v>8</v>
      </c>
      <c r="F102" s="26" t="n">
        <v>8</v>
      </c>
      <c r="G102" s="26" t="n">
        <v>8</v>
      </c>
      <c r="H102" s="26" t="n">
        <v>8</v>
      </c>
      <c r="I102" s="26" t="n">
        <v>8</v>
      </c>
      <c r="J102" s="26" t="n">
        <v>8</v>
      </c>
      <c r="K102" s="26" t="n">
        <v>8</v>
      </c>
      <c r="L102" s="26" t="n">
        <v>8</v>
      </c>
      <c r="M102" s="26" t="n">
        <v>8</v>
      </c>
      <c r="N102" s="26" t="n">
        <v>8</v>
      </c>
      <c r="O102" s="26" t="n">
        <v>8</v>
      </c>
      <c r="P102" s="26" t="n">
        <v>8</v>
      </c>
      <c r="Q102" s="26" t="n">
        <v>8</v>
      </c>
      <c r="R102" s="26" t="n">
        <v>8</v>
      </c>
      <c r="S102" s="26" t="n">
        <v>8</v>
      </c>
      <c r="T102" s="26" t="n">
        <v>8</v>
      </c>
      <c r="U102" s="26" t="n">
        <v>8</v>
      </c>
      <c r="V102" s="26" t="n">
        <v>8</v>
      </c>
      <c r="W102" s="26" t="n">
        <v>8</v>
      </c>
      <c r="X102" s="26" t="n">
        <v>8</v>
      </c>
      <c r="Y102" s="26" t="n">
        <v>8</v>
      </c>
      <c r="Z102" s="26" t="n">
        <v>8</v>
      </c>
      <c r="AA102" s="26" t="n">
        <v>8</v>
      </c>
      <c r="AB102" s="26" t="n">
        <v>8</v>
      </c>
      <c r="AC102" s="26" t="n">
        <v>8</v>
      </c>
      <c r="AD102" s="26" t="n">
        <v>8</v>
      </c>
      <c r="AE102" s="26" t="n">
        <v>8</v>
      </c>
      <c r="AF102" s="26" t="n">
        <v>8</v>
      </c>
      <c r="AG102" s="26" t="n">
        <v>8</v>
      </c>
      <c r="AH102" s="26" t="n">
        <v>8</v>
      </c>
      <c r="AI102" s="26" t="n">
        <v>8</v>
      </c>
      <c r="AJ102" s="26" t="n">
        <v>8</v>
      </c>
      <c r="AK102" s="26" t="n">
        <v>8</v>
      </c>
      <c r="AL102" s="26" t="n">
        <v>8</v>
      </c>
      <c r="AM102" s="26" t="n">
        <v>8</v>
      </c>
      <c r="AN102" s="26" t="n">
        <v>8</v>
      </c>
      <c r="AO102" s="26" t="n">
        <v>8</v>
      </c>
      <c r="AP102" s="26" t="n">
        <v>8</v>
      </c>
      <c r="AQ102" s="26" t="n">
        <v>8</v>
      </c>
      <c r="AR102" s="26" t="n">
        <v>8</v>
      </c>
      <c r="AS102" s="26" t="n">
        <v>8</v>
      </c>
      <c r="AT102" s="26" t="n">
        <v>8</v>
      </c>
      <c r="AU102" s="26" t="n">
        <v>8</v>
      </c>
      <c r="AV102" s="26" t="n">
        <v>8</v>
      </c>
      <c r="AW102" s="26" t="n">
        <v>8</v>
      </c>
      <c r="AX102" s="26" t="n">
        <v>8</v>
      </c>
      <c r="AY102" s="26" t="n">
        <v>8</v>
      </c>
      <c r="AZ102" s="26" t="n">
        <v>8</v>
      </c>
      <c r="BA102" s="26" t="n">
        <v>8</v>
      </c>
      <c r="BB102" s="26" t="n">
        <v>4</v>
      </c>
      <c r="BC102" s="26" t="n">
        <v>0</v>
      </c>
      <c r="BD102" s="26" t="n">
        <v>0</v>
      </c>
      <c r="BE102" s="26" t="n">
        <v>0</v>
      </c>
      <c r="BF102" s="26" t="n">
        <v>0</v>
      </c>
      <c r="BG102" s="26" t="n">
        <v>0</v>
      </c>
      <c r="BH102" s="26" t="n">
        <v>0</v>
      </c>
      <c r="BI102" s="26" t="n">
        <v>0</v>
      </c>
      <c r="BJ102" s="26" t="n">
        <v>0</v>
      </c>
      <c r="BK102" s="26" t="n">
        <v>0</v>
      </c>
      <c r="BL102" s="26" t="n">
        <v>0</v>
      </c>
      <c r="BM102" s="26" t="n">
        <v>0</v>
      </c>
    </row>
    <row r="103" ht="15.75" customHeight="1">
      <c r="A103" s="23" t="inlineStr">
        <is>
          <t>TA 2.6 – Implementando el buscador de trazabilidad de material u Orden de Compra</t>
        </is>
      </c>
      <c r="B103" s="24" t="inlineStr">
        <is>
          <t>Cristóbal López</t>
        </is>
      </c>
      <c r="C103" s="40" t="inlineStr">
        <is>
          <t>Incremento 3</t>
        </is>
      </c>
      <c r="D103" s="26" t="n"/>
      <c r="E103" s="26" t="n">
        <v>10</v>
      </c>
      <c r="F103" s="26" t="n">
        <v>10</v>
      </c>
      <c r="G103" s="26" t="n">
        <v>10</v>
      </c>
      <c r="H103" s="26" t="n">
        <v>10</v>
      </c>
      <c r="I103" s="26" t="n">
        <v>10</v>
      </c>
      <c r="J103" s="26" t="n">
        <v>10</v>
      </c>
      <c r="K103" s="26" t="n">
        <v>10</v>
      </c>
      <c r="L103" s="26" t="n">
        <v>10</v>
      </c>
      <c r="M103" s="26" t="n">
        <v>10</v>
      </c>
      <c r="N103" s="26" t="n">
        <v>10</v>
      </c>
      <c r="O103" s="26" t="n">
        <v>10</v>
      </c>
      <c r="P103" s="26" t="n">
        <v>10</v>
      </c>
      <c r="Q103" s="26" t="n">
        <v>10</v>
      </c>
      <c r="R103" s="26" t="n">
        <v>10</v>
      </c>
      <c r="S103" s="26" t="n">
        <v>10</v>
      </c>
      <c r="T103" s="26" t="n">
        <v>10</v>
      </c>
      <c r="U103" s="26" t="n">
        <v>10</v>
      </c>
      <c r="V103" s="26" t="n">
        <v>10</v>
      </c>
      <c r="W103" s="26" t="n">
        <v>10</v>
      </c>
      <c r="X103" s="26" t="n">
        <v>10</v>
      </c>
      <c r="Y103" s="26" t="n">
        <v>10</v>
      </c>
      <c r="Z103" s="26" t="n">
        <v>10</v>
      </c>
      <c r="AA103" s="26" t="n">
        <v>10</v>
      </c>
      <c r="AB103" s="26" t="n">
        <v>10</v>
      </c>
      <c r="AC103" s="26" t="n">
        <v>10</v>
      </c>
      <c r="AD103" s="26" t="n">
        <v>10</v>
      </c>
      <c r="AE103" s="26" t="n">
        <v>10</v>
      </c>
      <c r="AF103" s="26" t="n">
        <v>10</v>
      </c>
      <c r="AG103" s="26" t="n">
        <v>10</v>
      </c>
      <c r="AH103" s="26" t="n">
        <v>10</v>
      </c>
      <c r="AI103" s="26" t="n">
        <v>10</v>
      </c>
      <c r="AJ103" s="26" t="n">
        <v>10</v>
      </c>
      <c r="AK103" s="26" t="n">
        <v>10</v>
      </c>
      <c r="AL103" s="26" t="n">
        <v>10</v>
      </c>
      <c r="AM103" s="26" t="n">
        <v>10</v>
      </c>
      <c r="AN103" s="26" t="n">
        <v>10</v>
      </c>
      <c r="AO103" s="26" t="n">
        <v>10</v>
      </c>
      <c r="AP103" s="26" t="n">
        <v>10</v>
      </c>
      <c r="AQ103" s="26" t="n">
        <v>10</v>
      </c>
      <c r="AR103" s="26" t="n">
        <v>10</v>
      </c>
      <c r="AS103" s="26" t="n">
        <v>10</v>
      </c>
      <c r="AT103" s="26" t="n">
        <v>10</v>
      </c>
      <c r="AU103" s="26" t="n">
        <v>10</v>
      </c>
      <c r="AV103" s="26" t="n">
        <v>10</v>
      </c>
      <c r="AW103" s="26" t="n">
        <v>10</v>
      </c>
      <c r="AX103" s="26" t="n">
        <v>10</v>
      </c>
      <c r="AY103" s="26" t="n">
        <v>10</v>
      </c>
      <c r="AZ103" s="26" t="n">
        <v>10</v>
      </c>
      <c r="BA103" s="26" t="n">
        <v>10</v>
      </c>
      <c r="BB103" s="26" t="n">
        <v>10</v>
      </c>
      <c r="BC103" s="26" t="n">
        <v>5</v>
      </c>
      <c r="BD103" s="26" t="n">
        <v>0</v>
      </c>
      <c r="BE103" s="26" t="n">
        <v>0</v>
      </c>
      <c r="BF103" s="26" t="n">
        <v>0</v>
      </c>
      <c r="BG103" s="26" t="n">
        <v>0</v>
      </c>
      <c r="BH103" s="26" t="n">
        <v>0</v>
      </c>
      <c r="BI103" s="26" t="n">
        <v>0</v>
      </c>
      <c r="BJ103" s="26" t="n">
        <v>0</v>
      </c>
      <c r="BK103" s="26" t="n">
        <v>0</v>
      </c>
      <c r="BL103" s="26" t="n">
        <v>0</v>
      </c>
      <c r="BM103" s="26" t="n">
        <v>0</v>
      </c>
    </row>
    <row r="104" ht="15.75" customHeight="1">
      <c r="A104" s="23" t="inlineStr">
        <is>
          <t>TA 2.7 – Implementando el envío del enlace temporal de activación de cuenta</t>
        </is>
      </c>
      <c r="B104" s="24" t="inlineStr">
        <is>
          <t>Matías Medina</t>
        </is>
      </c>
      <c r="C104" s="40" t="inlineStr">
        <is>
          <t>Incremento 3</t>
        </is>
      </c>
      <c r="D104" s="26" t="n"/>
      <c r="E104" s="26" t="n">
        <v>4</v>
      </c>
      <c r="F104" s="26" t="n">
        <v>4</v>
      </c>
      <c r="G104" s="26" t="n">
        <v>4</v>
      </c>
      <c r="H104" s="26" t="n">
        <v>4</v>
      </c>
      <c r="I104" s="26" t="n">
        <v>4</v>
      </c>
      <c r="J104" s="26" t="n">
        <v>4</v>
      </c>
      <c r="K104" s="26" t="n">
        <v>4</v>
      </c>
      <c r="L104" s="26" t="n">
        <v>4</v>
      </c>
      <c r="M104" s="26" t="n">
        <v>4</v>
      </c>
      <c r="N104" s="26" t="n">
        <v>4</v>
      </c>
      <c r="O104" s="26" t="n">
        <v>4</v>
      </c>
      <c r="P104" s="26" t="n">
        <v>4</v>
      </c>
      <c r="Q104" s="26" t="n">
        <v>4</v>
      </c>
      <c r="R104" s="26" t="n">
        <v>4</v>
      </c>
      <c r="S104" s="26" t="n">
        <v>4</v>
      </c>
      <c r="T104" s="26" t="n">
        <v>4</v>
      </c>
      <c r="U104" s="26" t="n">
        <v>4</v>
      </c>
      <c r="V104" s="26" t="n">
        <v>4</v>
      </c>
      <c r="W104" s="26" t="n">
        <v>4</v>
      </c>
      <c r="X104" s="26" t="n">
        <v>4</v>
      </c>
      <c r="Y104" s="26" t="n">
        <v>4</v>
      </c>
      <c r="Z104" s="26" t="n">
        <v>4</v>
      </c>
      <c r="AA104" s="26" t="n">
        <v>4</v>
      </c>
      <c r="AB104" s="26" t="n">
        <v>4</v>
      </c>
      <c r="AC104" s="26" t="n">
        <v>4</v>
      </c>
      <c r="AD104" s="26" t="n">
        <v>4</v>
      </c>
      <c r="AE104" s="26" t="n">
        <v>4</v>
      </c>
      <c r="AF104" s="26" t="n">
        <v>4</v>
      </c>
      <c r="AG104" s="26" t="n">
        <v>4</v>
      </c>
      <c r="AH104" s="26" t="n">
        <v>4</v>
      </c>
      <c r="AI104" s="26" t="n">
        <v>4</v>
      </c>
      <c r="AJ104" s="26" t="n">
        <v>4</v>
      </c>
      <c r="AK104" s="26" t="n">
        <v>4</v>
      </c>
      <c r="AL104" s="26" t="n">
        <v>4</v>
      </c>
      <c r="AM104" s="26" t="n">
        <v>4</v>
      </c>
      <c r="AN104" s="26" t="n">
        <v>4</v>
      </c>
      <c r="AO104" s="26" t="n">
        <v>4</v>
      </c>
      <c r="AP104" s="26" t="n">
        <v>4</v>
      </c>
      <c r="AQ104" s="26" t="n">
        <v>4</v>
      </c>
      <c r="AR104" s="26" t="n">
        <v>4</v>
      </c>
      <c r="AS104" s="26" t="n">
        <v>4</v>
      </c>
      <c r="AT104" s="26" t="n">
        <v>4</v>
      </c>
      <c r="AU104" s="26" t="n">
        <v>4</v>
      </c>
      <c r="AV104" s="26" t="n">
        <v>4</v>
      </c>
      <c r="AW104" s="26" t="n">
        <v>4</v>
      </c>
      <c r="AX104" s="26" t="n">
        <v>4</v>
      </c>
      <c r="AY104" s="26" t="n">
        <v>4</v>
      </c>
      <c r="AZ104" s="26" t="n">
        <v>4</v>
      </c>
      <c r="BA104" s="26" t="n">
        <v>4</v>
      </c>
      <c r="BB104" s="26" t="n">
        <v>4</v>
      </c>
      <c r="BC104" s="26" t="n">
        <v>4</v>
      </c>
      <c r="BD104" s="26" t="n">
        <v>0</v>
      </c>
      <c r="BE104" s="26" t="n">
        <v>0</v>
      </c>
      <c r="BF104" s="26" t="n">
        <v>0</v>
      </c>
      <c r="BG104" s="26" t="n">
        <v>0</v>
      </c>
      <c r="BH104" s="26" t="n">
        <v>0</v>
      </c>
      <c r="BI104" s="26" t="n">
        <v>0</v>
      </c>
      <c r="BJ104" s="26" t="n">
        <v>0</v>
      </c>
      <c r="BK104" s="26" t="n">
        <v>0</v>
      </c>
      <c r="BL104" s="26" t="n">
        <v>0</v>
      </c>
      <c r="BM104" s="26" t="n">
        <v>0</v>
      </c>
    </row>
    <row r="105" ht="15.75" customHeight="1">
      <c r="A105" s="23" t="inlineStr">
        <is>
          <t>TA 2.8 – Implementando el cierre de sesión automático por inactividad</t>
        </is>
      </c>
      <c r="B105" s="24" t="inlineStr">
        <is>
          <t>Cristóbal López</t>
        </is>
      </c>
      <c r="C105" s="40" t="inlineStr">
        <is>
          <t>Incremento 3</t>
        </is>
      </c>
      <c r="D105" s="26" t="n"/>
      <c r="E105" s="26" t="n">
        <v>4</v>
      </c>
      <c r="F105" s="26" t="n">
        <v>4</v>
      </c>
      <c r="G105" s="26" t="n">
        <v>4</v>
      </c>
      <c r="H105" s="26" t="n">
        <v>4</v>
      </c>
      <c r="I105" s="26" t="n">
        <v>4</v>
      </c>
      <c r="J105" s="26" t="n">
        <v>4</v>
      </c>
      <c r="K105" s="26" t="n">
        <v>4</v>
      </c>
      <c r="L105" s="26" t="n">
        <v>4</v>
      </c>
      <c r="M105" s="26" t="n">
        <v>4</v>
      </c>
      <c r="N105" s="26" t="n">
        <v>4</v>
      </c>
      <c r="O105" s="26" t="n">
        <v>4</v>
      </c>
      <c r="P105" s="26" t="n">
        <v>4</v>
      </c>
      <c r="Q105" s="26" t="n">
        <v>4</v>
      </c>
      <c r="R105" s="26" t="n">
        <v>4</v>
      </c>
      <c r="S105" s="26" t="n">
        <v>4</v>
      </c>
      <c r="T105" s="26" t="n">
        <v>4</v>
      </c>
      <c r="U105" s="26" t="n">
        <v>4</v>
      </c>
      <c r="V105" s="26" t="n">
        <v>4</v>
      </c>
      <c r="W105" s="26" t="n">
        <v>4</v>
      </c>
      <c r="X105" s="26" t="n">
        <v>4</v>
      </c>
      <c r="Y105" s="26" t="n">
        <v>4</v>
      </c>
      <c r="Z105" s="26" t="n">
        <v>4</v>
      </c>
      <c r="AA105" s="26" t="n">
        <v>4</v>
      </c>
      <c r="AB105" s="26" t="n">
        <v>4</v>
      </c>
      <c r="AC105" s="26" t="n">
        <v>4</v>
      </c>
      <c r="AD105" s="26" t="n">
        <v>4</v>
      </c>
      <c r="AE105" s="26" t="n">
        <v>4</v>
      </c>
      <c r="AF105" s="26" t="n">
        <v>4</v>
      </c>
      <c r="AG105" s="26" t="n">
        <v>4</v>
      </c>
      <c r="AH105" s="26" t="n">
        <v>4</v>
      </c>
      <c r="AI105" s="26" t="n">
        <v>4</v>
      </c>
      <c r="AJ105" s="26" t="n">
        <v>4</v>
      </c>
      <c r="AK105" s="26" t="n">
        <v>4</v>
      </c>
      <c r="AL105" s="26" t="n">
        <v>4</v>
      </c>
      <c r="AM105" s="26" t="n">
        <v>4</v>
      </c>
      <c r="AN105" s="26" t="n">
        <v>4</v>
      </c>
      <c r="AO105" s="26" t="n">
        <v>4</v>
      </c>
      <c r="AP105" s="26" t="n">
        <v>4</v>
      </c>
      <c r="AQ105" s="26" t="n">
        <v>4</v>
      </c>
      <c r="AR105" s="26" t="n">
        <v>4</v>
      </c>
      <c r="AS105" s="26" t="n">
        <v>4</v>
      </c>
      <c r="AT105" s="26" t="n">
        <v>4</v>
      </c>
      <c r="AU105" s="26" t="n">
        <v>4</v>
      </c>
      <c r="AV105" s="26" t="n">
        <v>4</v>
      </c>
      <c r="AW105" s="26" t="n">
        <v>4</v>
      </c>
      <c r="AX105" s="26" t="n">
        <v>4</v>
      </c>
      <c r="AY105" s="26" t="n">
        <v>4</v>
      </c>
      <c r="AZ105" s="26" t="n">
        <v>4</v>
      </c>
      <c r="BA105" s="26" t="n">
        <v>4</v>
      </c>
      <c r="BB105" s="26" t="n">
        <v>4</v>
      </c>
      <c r="BC105" s="26" t="n">
        <v>4</v>
      </c>
      <c r="BD105" s="26" t="n">
        <v>4</v>
      </c>
      <c r="BE105" s="26" t="n">
        <v>0</v>
      </c>
      <c r="BF105" s="26" t="n">
        <v>0</v>
      </c>
      <c r="BG105" s="26" t="n">
        <v>0</v>
      </c>
      <c r="BH105" s="26" t="n">
        <v>0</v>
      </c>
      <c r="BI105" s="26" t="n">
        <v>0</v>
      </c>
      <c r="BJ105" s="26" t="n">
        <v>0</v>
      </c>
      <c r="BK105" s="26" t="n">
        <v>0</v>
      </c>
      <c r="BL105" s="26" t="n">
        <v>0</v>
      </c>
      <c r="BM105" s="26" t="n">
        <v>0</v>
      </c>
    </row>
    <row r="106" ht="15.75" customHeight="1">
      <c r="A106" s="23" t="inlineStr">
        <is>
          <t>TA 2.9 – Implementando la recuperación de contraseña por correo electrónico</t>
        </is>
      </c>
      <c r="B106" s="24" t="inlineStr">
        <is>
          <t>Matías Medina</t>
        </is>
      </c>
      <c r="C106" s="40" t="inlineStr">
        <is>
          <t>Incremento 3</t>
        </is>
      </c>
      <c r="D106" s="26" t="n"/>
      <c r="E106" s="26" t="n">
        <v>8</v>
      </c>
      <c r="F106" s="26" t="n">
        <v>8</v>
      </c>
      <c r="G106" s="26" t="n">
        <v>8</v>
      </c>
      <c r="H106" s="26" t="n">
        <v>8</v>
      </c>
      <c r="I106" s="26" t="n">
        <v>8</v>
      </c>
      <c r="J106" s="26" t="n">
        <v>8</v>
      </c>
      <c r="K106" s="26" t="n">
        <v>8</v>
      </c>
      <c r="L106" s="26" t="n">
        <v>8</v>
      </c>
      <c r="M106" s="26" t="n">
        <v>8</v>
      </c>
      <c r="N106" s="26" t="n">
        <v>8</v>
      </c>
      <c r="O106" s="26" t="n">
        <v>8</v>
      </c>
      <c r="P106" s="26" t="n">
        <v>8</v>
      </c>
      <c r="Q106" s="26" t="n">
        <v>8</v>
      </c>
      <c r="R106" s="26" t="n">
        <v>8</v>
      </c>
      <c r="S106" s="26" t="n">
        <v>8</v>
      </c>
      <c r="T106" s="26" t="n">
        <v>8</v>
      </c>
      <c r="U106" s="26" t="n">
        <v>8</v>
      </c>
      <c r="V106" s="26" t="n">
        <v>8</v>
      </c>
      <c r="W106" s="26" t="n">
        <v>8</v>
      </c>
      <c r="X106" s="26" t="n">
        <v>8</v>
      </c>
      <c r="Y106" s="26" t="n">
        <v>8</v>
      </c>
      <c r="Z106" s="26" t="n">
        <v>8</v>
      </c>
      <c r="AA106" s="26" t="n">
        <v>8</v>
      </c>
      <c r="AB106" s="26" t="n">
        <v>8</v>
      </c>
      <c r="AC106" s="26" t="n">
        <v>8</v>
      </c>
      <c r="AD106" s="26" t="n">
        <v>8</v>
      </c>
      <c r="AE106" s="26" t="n">
        <v>8</v>
      </c>
      <c r="AF106" s="26" t="n">
        <v>8</v>
      </c>
      <c r="AG106" s="26" t="n">
        <v>8</v>
      </c>
      <c r="AH106" s="26" t="n">
        <v>8</v>
      </c>
      <c r="AI106" s="26" t="n">
        <v>8</v>
      </c>
      <c r="AJ106" s="26" t="n">
        <v>8</v>
      </c>
      <c r="AK106" s="26" t="n">
        <v>8</v>
      </c>
      <c r="AL106" s="26" t="n">
        <v>8</v>
      </c>
      <c r="AM106" s="26" t="n">
        <v>8</v>
      </c>
      <c r="AN106" s="26" t="n">
        <v>8</v>
      </c>
      <c r="AO106" s="26" t="n">
        <v>8</v>
      </c>
      <c r="AP106" s="26" t="n">
        <v>8</v>
      </c>
      <c r="AQ106" s="26" t="n">
        <v>8</v>
      </c>
      <c r="AR106" s="26" t="n">
        <v>8</v>
      </c>
      <c r="AS106" s="26" t="n">
        <v>8</v>
      </c>
      <c r="AT106" s="26" t="n">
        <v>8</v>
      </c>
      <c r="AU106" s="26" t="n">
        <v>8</v>
      </c>
      <c r="AV106" s="26" t="n">
        <v>8</v>
      </c>
      <c r="AW106" s="26" t="n">
        <v>8</v>
      </c>
      <c r="AX106" s="26" t="n">
        <v>8</v>
      </c>
      <c r="AY106" s="26" t="n">
        <v>8</v>
      </c>
      <c r="AZ106" s="26" t="n">
        <v>8</v>
      </c>
      <c r="BA106" s="26" t="n">
        <v>8</v>
      </c>
      <c r="BB106" s="26" t="n">
        <v>8</v>
      </c>
      <c r="BC106" s="26" t="n">
        <v>8</v>
      </c>
      <c r="BD106" s="26" t="n">
        <v>8</v>
      </c>
      <c r="BE106" s="26" t="n">
        <v>4</v>
      </c>
      <c r="BF106" s="26" t="n">
        <v>0</v>
      </c>
      <c r="BG106" s="26" t="n">
        <v>0</v>
      </c>
      <c r="BH106" s="26" t="n">
        <v>0</v>
      </c>
      <c r="BI106" s="26" t="n">
        <v>0</v>
      </c>
      <c r="BJ106" s="26" t="n">
        <v>0</v>
      </c>
      <c r="BK106" s="26" t="n">
        <v>0</v>
      </c>
      <c r="BL106" s="26" t="n">
        <v>0</v>
      </c>
      <c r="BM106" s="26" t="n">
        <v>0</v>
      </c>
    </row>
    <row r="107" ht="15.75" customHeight="1">
      <c r="A107" s="23" t="inlineStr">
        <is>
          <t>TA 2.10 – Implementando la advertencia de tamaño de archivo sobre el umbral configurado</t>
        </is>
      </c>
      <c r="B107" s="24" t="inlineStr">
        <is>
          <t>Cristóbal López</t>
        </is>
      </c>
      <c r="C107" s="40" t="inlineStr">
        <is>
          <t>Incremento 3</t>
        </is>
      </c>
      <c r="D107" s="26" t="n"/>
      <c r="E107" s="26" t="n">
        <v>4</v>
      </c>
      <c r="F107" s="26" t="n">
        <v>4</v>
      </c>
      <c r="G107" s="26" t="n">
        <v>4</v>
      </c>
      <c r="H107" s="26" t="n">
        <v>4</v>
      </c>
      <c r="I107" s="26" t="n">
        <v>4</v>
      </c>
      <c r="J107" s="26" t="n">
        <v>4</v>
      </c>
      <c r="K107" s="26" t="n">
        <v>4</v>
      </c>
      <c r="L107" s="26" t="n">
        <v>4</v>
      </c>
      <c r="M107" s="26" t="n">
        <v>4</v>
      </c>
      <c r="N107" s="26" t="n">
        <v>4</v>
      </c>
      <c r="O107" s="26" t="n">
        <v>4</v>
      </c>
      <c r="P107" s="26" t="n">
        <v>4</v>
      </c>
      <c r="Q107" s="26" t="n">
        <v>4</v>
      </c>
      <c r="R107" s="26" t="n">
        <v>4</v>
      </c>
      <c r="S107" s="26" t="n">
        <v>4</v>
      </c>
      <c r="T107" s="26" t="n">
        <v>4</v>
      </c>
      <c r="U107" s="26" t="n">
        <v>4</v>
      </c>
      <c r="V107" s="26" t="n">
        <v>4</v>
      </c>
      <c r="W107" s="26" t="n">
        <v>4</v>
      </c>
      <c r="X107" s="26" t="n">
        <v>4</v>
      </c>
      <c r="Y107" s="26" t="n">
        <v>4</v>
      </c>
      <c r="Z107" s="26" t="n">
        <v>4</v>
      </c>
      <c r="AA107" s="26" t="n">
        <v>4</v>
      </c>
      <c r="AB107" s="26" t="n">
        <v>4</v>
      </c>
      <c r="AC107" s="26" t="n">
        <v>4</v>
      </c>
      <c r="AD107" s="26" t="n">
        <v>4</v>
      </c>
      <c r="AE107" s="26" t="n">
        <v>4</v>
      </c>
      <c r="AF107" s="26" t="n">
        <v>4</v>
      </c>
      <c r="AG107" s="26" t="n">
        <v>4</v>
      </c>
      <c r="AH107" s="26" t="n">
        <v>4</v>
      </c>
      <c r="AI107" s="26" t="n">
        <v>4</v>
      </c>
      <c r="AJ107" s="26" t="n">
        <v>4</v>
      </c>
      <c r="AK107" s="26" t="n">
        <v>4</v>
      </c>
      <c r="AL107" s="26" t="n">
        <v>4</v>
      </c>
      <c r="AM107" s="26" t="n">
        <v>4</v>
      </c>
      <c r="AN107" s="26" t="n">
        <v>4</v>
      </c>
      <c r="AO107" s="26" t="n">
        <v>4</v>
      </c>
      <c r="AP107" s="26" t="n">
        <v>4</v>
      </c>
      <c r="AQ107" s="26" t="n">
        <v>4</v>
      </c>
      <c r="AR107" s="26" t="n">
        <v>4</v>
      </c>
      <c r="AS107" s="26" t="n">
        <v>4</v>
      </c>
      <c r="AT107" s="26" t="n">
        <v>4</v>
      </c>
      <c r="AU107" s="26" t="n">
        <v>4</v>
      </c>
      <c r="AV107" s="26" t="n">
        <v>4</v>
      </c>
      <c r="AW107" s="26" t="n">
        <v>4</v>
      </c>
      <c r="AX107" s="26" t="n">
        <v>4</v>
      </c>
      <c r="AY107" s="26" t="n">
        <v>4</v>
      </c>
      <c r="AZ107" s="26" t="n">
        <v>4</v>
      </c>
      <c r="BA107" s="26" t="n">
        <v>4</v>
      </c>
      <c r="BB107" s="26" t="n">
        <v>4</v>
      </c>
      <c r="BC107" s="26" t="n">
        <v>4</v>
      </c>
      <c r="BD107" s="26" t="n">
        <v>4</v>
      </c>
      <c r="BE107" s="26" t="n">
        <v>4</v>
      </c>
      <c r="BF107" s="26" t="n">
        <v>0</v>
      </c>
      <c r="BG107" s="26" t="n">
        <v>0</v>
      </c>
      <c r="BH107" s="26" t="n">
        <v>0</v>
      </c>
      <c r="BI107" s="26" t="n">
        <v>0</v>
      </c>
      <c r="BJ107" s="26" t="n">
        <v>0</v>
      </c>
      <c r="BK107" s="26" t="n">
        <v>0</v>
      </c>
      <c r="BL107" s="26" t="n">
        <v>0</v>
      </c>
      <c r="BM107" s="26" t="n">
        <v>0</v>
      </c>
    </row>
    <row r="108" ht="15.75" customHeight="1">
      <c r="A108" s="23" t="inlineStr">
        <is>
          <t>TA 2.11 – Implementando la descarga y el bloqueo de archivos para edición sin conexión</t>
        </is>
      </c>
      <c r="B108" s="24" t="inlineStr">
        <is>
          <t>Matías Medina</t>
        </is>
      </c>
      <c r="C108" s="40" t="inlineStr">
        <is>
          <t>Incremento 3</t>
        </is>
      </c>
      <c r="D108" s="26" t="n"/>
      <c r="E108" s="26" t="n">
        <v>8</v>
      </c>
      <c r="F108" s="26" t="n">
        <v>8</v>
      </c>
      <c r="G108" s="26" t="n">
        <v>8</v>
      </c>
      <c r="H108" s="26" t="n">
        <v>8</v>
      </c>
      <c r="I108" s="26" t="n">
        <v>8</v>
      </c>
      <c r="J108" s="26" t="n">
        <v>8</v>
      </c>
      <c r="K108" s="26" t="n">
        <v>8</v>
      </c>
      <c r="L108" s="26" t="n">
        <v>8</v>
      </c>
      <c r="M108" s="26" t="n">
        <v>8</v>
      </c>
      <c r="N108" s="26" t="n">
        <v>8</v>
      </c>
      <c r="O108" s="26" t="n">
        <v>8</v>
      </c>
      <c r="P108" s="26" t="n">
        <v>8</v>
      </c>
      <c r="Q108" s="26" t="n">
        <v>8</v>
      </c>
      <c r="R108" s="26" t="n">
        <v>8</v>
      </c>
      <c r="S108" s="26" t="n">
        <v>8</v>
      </c>
      <c r="T108" s="26" t="n">
        <v>8</v>
      </c>
      <c r="U108" s="26" t="n">
        <v>8</v>
      </c>
      <c r="V108" s="26" t="n">
        <v>8</v>
      </c>
      <c r="W108" s="26" t="n">
        <v>8</v>
      </c>
      <c r="X108" s="26" t="n">
        <v>8</v>
      </c>
      <c r="Y108" s="26" t="n">
        <v>8</v>
      </c>
      <c r="Z108" s="26" t="n">
        <v>8</v>
      </c>
      <c r="AA108" s="26" t="n">
        <v>8</v>
      </c>
      <c r="AB108" s="26" t="n">
        <v>8</v>
      </c>
      <c r="AC108" s="26" t="n">
        <v>8</v>
      </c>
      <c r="AD108" s="26" t="n">
        <v>8</v>
      </c>
      <c r="AE108" s="26" t="n">
        <v>8</v>
      </c>
      <c r="AF108" s="26" t="n">
        <v>8</v>
      </c>
      <c r="AG108" s="26" t="n">
        <v>8</v>
      </c>
      <c r="AH108" s="26" t="n">
        <v>8</v>
      </c>
      <c r="AI108" s="26" t="n">
        <v>8</v>
      </c>
      <c r="AJ108" s="26" t="n">
        <v>8</v>
      </c>
      <c r="AK108" s="26" t="n">
        <v>8</v>
      </c>
      <c r="AL108" s="26" t="n">
        <v>8</v>
      </c>
      <c r="AM108" s="26" t="n">
        <v>8</v>
      </c>
      <c r="AN108" s="26" t="n">
        <v>8</v>
      </c>
      <c r="AO108" s="26" t="n">
        <v>8</v>
      </c>
      <c r="AP108" s="26" t="n">
        <v>8</v>
      </c>
      <c r="AQ108" s="26" t="n">
        <v>8</v>
      </c>
      <c r="AR108" s="26" t="n">
        <v>8</v>
      </c>
      <c r="AS108" s="26" t="n">
        <v>8</v>
      </c>
      <c r="AT108" s="26" t="n">
        <v>8</v>
      </c>
      <c r="AU108" s="26" t="n">
        <v>8</v>
      </c>
      <c r="AV108" s="26" t="n">
        <v>8</v>
      </c>
      <c r="AW108" s="26" t="n">
        <v>8</v>
      </c>
      <c r="AX108" s="26" t="n">
        <v>8</v>
      </c>
      <c r="AY108" s="26" t="n">
        <v>8</v>
      </c>
      <c r="AZ108" s="26" t="n">
        <v>8</v>
      </c>
      <c r="BA108" s="26" t="n">
        <v>8</v>
      </c>
      <c r="BB108" s="26" t="n">
        <v>8</v>
      </c>
      <c r="BC108" s="26" t="n">
        <v>8</v>
      </c>
      <c r="BD108" s="26" t="n">
        <v>8</v>
      </c>
      <c r="BE108" s="26" t="n">
        <v>8</v>
      </c>
      <c r="BF108" s="26" t="n">
        <v>4</v>
      </c>
      <c r="BG108" s="26" t="n">
        <v>0</v>
      </c>
      <c r="BH108" s="26" t="n">
        <v>0</v>
      </c>
      <c r="BI108" s="26" t="n">
        <v>0</v>
      </c>
      <c r="BJ108" s="26" t="n">
        <v>0</v>
      </c>
      <c r="BK108" s="26" t="n">
        <v>0</v>
      </c>
      <c r="BL108" s="26" t="n">
        <v>0</v>
      </c>
      <c r="BM108" s="26" t="n">
        <v>0</v>
      </c>
    </row>
    <row r="109" ht="15.75" customHeight="1">
      <c r="A109" s="23" t="inlineStr">
        <is>
          <t>TA 2.12 – Implementando la subida de la versión editada y la liberación del bloqueo</t>
        </is>
      </c>
      <c r="B109" s="24" t="inlineStr">
        <is>
          <t>Cristóbal López</t>
        </is>
      </c>
      <c r="C109" s="40" t="inlineStr">
        <is>
          <t>Incremento 3</t>
        </is>
      </c>
      <c r="D109" s="26" t="n"/>
      <c r="E109" s="26" t="n">
        <v>6</v>
      </c>
      <c r="F109" s="26" t="n">
        <v>6</v>
      </c>
      <c r="G109" s="26" t="n">
        <v>6</v>
      </c>
      <c r="H109" s="26" t="n">
        <v>6</v>
      </c>
      <c r="I109" s="26" t="n">
        <v>6</v>
      </c>
      <c r="J109" s="26" t="n">
        <v>6</v>
      </c>
      <c r="K109" s="26" t="n">
        <v>6</v>
      </c>
      <c r="L109" s="26" t="n">
        <v>6</v>
      </c>
      <c r="M109" s="26" t="n">
        <v>6</v>
      </c>
      <c r="N109" s="26" t="n">
        <v>6</v>
      </c>
      <c r="O109" s="26" t="n">
        <v>6</v>
      </c>
      <c r="P109" s="26" t="n">
        <v>6</v>
      </c>
      <c r="Q109" s="26" t="n">
        <v>6</v>
      </c>
      <c r="R109" s="26" t="n">
        <v>6</v>
      </c>
      <c r="S109" s="26" t="n">
        <v>6</v>
      </c>
      <c r="T109" s="26" t="n">
        <v>6</v>
      </c>
      <c r="U109" s="26" t="n">
        <v>6</v>
      </c>
      <c r="V109" s="26" t="n">
        <v>6</v>
      </c>
      <c r="W109" s="26" t="n">
        <v>6</v>
      </c>
      <c r="X109" s="26" t="n">
        <v>6</v>
      </c>
      <c r="Y109" s="26" t="n">
        <v>6</v>
      </c>
      <c r="Z109" s="26" t="n">
        <v>6</v>
      </c>
      <c r="AA109" s="26" t="n">
        <v>6</v>
      </c>
      <c r="AB109" s="26" t="n">
        <v>6</v>
      </c>
      <c r="AC109" s="26" t="n">
        <v>6</v>
      </c>
      <c r="AD109" s="26" t="n">
        <v>6</v>
      </c>
      <c r="AE109" s="26" t="n">
        <v>6</v>
      </c>
      <c r="AF109" s="26" t="n">
        <v>6</v>
      </c>
      <c r="AG109" s="26" t="n">
        <v>6</v>
      </c>
      <c r="AH109" s="26" t="n">
        <v>6</v>
      </c>
      <c r="AI109" s="26" t="n">
        <v>6</v>
      </c>
      <c r="AJ109" s="26" t="n">
        <v>6</v>
      </c>
      <c r="AK109" s="26" t="n">
        <v>6</v>
      </c>
      <c r="AL109" s="26" t="n">
        <v>6</v>
      </c>
      <c r="AM109" s="26" t="n">
        <v>6</v>
      </c>
      <c r="AN109" s="26" t="n">
        <v>6</v>
      </c>
      <c r="AO109" s="26" t="n">
        <v>6</v>
      </c>
      <c r="AP109" s="26" t="n">
        <v>6</v>
      </c>
      <c r="AQ109" s="26" t="n">
        <v>6</v>
      </c>
      <c r="AR109" s="26" t="n">
        <v>6</v>
      </c>
      <c r="AS109" s="26" t="n">
        <v>6</v>
      </c>
      <c r="AT109" s="26" t="n">
        <v>6</v>
      </c>
      <c r="AU109" s="26" t="n">
        <v>6</v>
      </c>
      <c r="AV109" s="26" t="n">
        <v>6</v>
      </c>
      <c r="AW109" s="26" t="n">
        <v>6</v>
      </c>
      <c r="AX109" s="26" t="n">
        <v>6</v>
      </c>
      <c r="AY109" s="26" t="n">
        <v>6</v>
      </c>
      <c r="AZ109" s="26" t="n">
        <v>6</v>
      </c>
      <c r="BA109" s="26" t="n">
        <v>6</v>
      </c>
      <c r="BB109" s="26" t="n">
        <v>6</v>
      </c>
      <c r="BC109" s="26" t="n">
        <v>6</v>
      </c>
      <c r="BD109" s="26" t="n">
        <v>6</v>
      </c>
      <c r="BE109" s="26" t="n">
        <v>6</v>
      </c>
      <c r="BF109" s="26" t="n">
        <v>6</v>
      </c>
      <c r="BG109" s="26" t="n">
        <v>3</v>
      </c>
      <c r="BH109" s="26" t="n">
        <v>0</v>
      </c>
      <c r="BI109" s="26" t="n">
        <v>0</v>
      </c>
      <c r="BJ109" s="26" t="n">
        <v>0</v>
      </c>
      <c r="BK109" s="26" t="n">
        <v>0</v>
      </c>
      <c r="BL109" s="26" t="n">
        <v>0</v>
      </c>
      <c r="BM109" s="26" t="n">
        <v>0</v>
      </c>
    </row>
    <row r="110" ht="15.75" customHeight="1">
      <c r="A110" s="23" t="inlineStr">
        <is>
          <t>TA 2.13 – Implementando la configuración de los parámetros generales del sistema</t>
        </is>
      </c>
      <c r="B110" s="24" t="inlineStr">
        <is>
          <t>Matías Medina</t>
        </is>
      </c>
      <c r="C110" s="40" t="inlineStr">
        <is>
          <t>Incremento 3</t>
        </is>
      </c>
      <c r="D110" s="26" t="n"/>
      <c r="E110" s="26" t="n">
        <v>6</v>
      </c>
      <c r="F110" s="26" t="n">
        <v>6</v>
      </c>
      <c r="G110" s="26" t="n">
        <v>6</v>
      </c>
      <c r="H110" s="26" t="n">
        <v>6</v>
      </c>
      <c r="I110" s="26" t="n">
        <v>6</v>
      </c>
      <c r="J110" s="26" t="n">
        <v>6</v>
      </c>
      <c r="K110" s="26" t="n">
        <v>6</v>
      </c>
      <c r="L110" s="26" t="n">
        <v>6</v>
      </c>
      <c r="M110" s="26" t="n">
        <v>6</v>
      </c>
      <c r="N110" s="26" t="n">
        <v>6</v>
      </c>
      <c r="O110" s="26" t="n">
        <v>6</v>
      </c>
      <c r="P110" s="26" t="n">
        <v>6</v>
      </c>
      <c r="Q110" s="26" t="n">
        <v>6</v>
      </c>
      <c r="R110" s="26" t="n">
        <v>6</v>
      </c>
      <c r="S110" s="26" t="n">
        <v>6</v>
      </c>
      <c r="T110" s="26" t="n">
        <v>6</v>
      </c>
      <c r="U110" s="26" t="n">
        <v>6</v>
      </c>
      <c r="V110" s="26" t="n">
        <v>6</v>
      </c>
      <c r="W110" s="26" t="n">
        <v>6</v>
      </c>
      <c r="X110" s="26" t="n">
        <v>6</v>
      </c>
      <c r="Y110" s="26" t="n">
        <v>6</v>
      </c>
      <c r="Z110" s="26" t="n">
        <v>6</v>
      </c>
      <c r="AA110" s="26" t="n">
        <v>6</v>
      </c>
      <c r="AB110" s="26" t="n">
        <v>6</v>
      </c>
      <c r="AC110" s="26" t="n">
        <v>6</v>
      </c>
      <c r="AD110" s="26" t="n">
        <v>6</v>
      </c>
      <c r="AE110" s="26" t="n">
        <v>6</v>
      </c>
      <c r="AF110" s="26" t="n">
        <v>6</v>
      </c>
      <c r="AG110" s="26" t="n">
        <v>6</v>
      </c>
      <c r="AH110" s="26" t="n">
        <v>6</v>
      </c>
      <c r="AI110" s="26" t="n">
        <v>6</v>
      </c>
      <c r="AJ110" s="26" t="n">
        <v>6</v>
      </c>
      <c r="AK110" s="26" t="n">
        <v>6</v>
      </c>
      <c r="AL110" s="26" t="n">
        <v>6</v>
      </c>
      <c r="AM110" s="26" t="n">
        <v>6</v>
      </c>
      <c r="AN110" s="26" t="n">
        <v>6</v>
      </c>
      <c r="AO110" s="26" t="n">
        <v>6</v>
      </c>
      <c r="AP110" s="26" t="n">
        <v>6</v>
      </c>
      <c r="AQ110" s="26" t="n">
        <v>6</v>
      </c>
      <c r="AR110" s="26" t="n">
        <v>6</v>
      </c>
      <c r="AS110" s="26" t="n">
        <v>6</v>
      </c>
      <c r="AT110" s="26" t="n">
        <v>6</v>
      </c>
      <c r="AU110" s="26" t="n">
        <v>6</v>
      </c>
      <c r="AV110" s="26" t="n">
        <v>6</v>
      </c>
      <c r="AW110" s="26" t="n">
        <v>6</v>
      </c>
      <c r="AX110" s="26" t="n">
        <v>6</v>
      </c>
      <c r="AY110" s="26" t="n">
        <v>6</v>
      </c>
      <c r="AZ110" s="26" t="n">
        <v>6</v>
      </c>
      <c r="BA110" s="26" t="n">
        <v>6</v>
      </c>
      <c r="BB110" s="26" t="n">
        <v>6</v>
      </c>
      <c r="BC110" s="26" t="n">
        <v>6</v>
      </c>
      <c r="BD110" s="26" t="n">
        <v>6</v>
      </c>
      <c r="BE110" s="26" t="n">
        <v>6</v>
      </c>
      <c r="BF110" s="26" t="n">
        <v>6</v>
      </c>
      <c r="BG110" s="26" t="n">
        <v>6</v>
      </c>
      <c r="BH110" s="26" t="n">
        <v>0</v>
      </c>
      <c r="BI110" s="26" t="n">
        <v>0</v>
      </c>
      <c r="BJ110" s="26" t="n">
        <v>0</v>
      </c>
      <c r="BK110" s="26" t="n">
        <v>0</v>
      </c>
      <c r="BL110" s="26" t="n">
        <v>0</v>
      </c>
      <c r="BM110" s="26" t="n">
        <v>0</v>
      </c>
    </row>
    <row r="111" ht="15.75" customHeight="1">
      <c r="A111" s="23" t="inlineStr">
        <is>
          <t>TA 3.1 – Realizando el modelo entidad-relación extendido del incremento</t>
        </is>
      </c>
      <c r="B111" s="24" t="inlineStr">
        <is>
          <t>Alexander Hanke</t>
        </is>
      </c>
      <c r="C111" s="40" t="inlineStr">
        <is>
          <t>Incremento 3</t>
        </is>
      </c>
      <c r="D111" s="26" t="n"/>
      <c r="E111" s="26" t="n">
        <v>6</v>
      </c>
      <c r="F111" s="26" t="n">
        <v>6</v>
      </c>
      <c r="G111" s="26" t="n">
        <v>6</v>
      </c>
      <c r="H111" s="26" t="n">
        <v>6</v>
      </c>
      <c r="I111" s="26" t="n">
        <v>6</v>
      </c>
      <c r="J111" s="26" t="n">
        <v>6</v>
      </c>
      <c r="K111" s="26" t="n">
        <v>6</v>
      </c>
      <c r="L111" s="26" t="n">
        <v>6</v>
      </c>
      <c r="M111" s="26" t="n">
        <v>6</v>
      </c>
      <c r="N111" s="26" t="n">
        <v>6</v>
      </c>
      <c r="O111" s="26" t="n">
        <v>6</v>
      </c>
      <c r="P111" s="26" t="n">
        <v>6</v>
      </c>
      <c r="Q111" s="26" t="n">
        <v>6</v>
      </c>
      <c r="R111" s="26" t="n">
        <v>6</v>
      </c>
      <c r="S111" s="26" t="n">
        <v>6</v>
      </c>
      <c r="T111" s="26" t="n">
        <v>6</v>
      </c>
      <c r="U111" s="26" t="n">
        <v>6</v>
      </c>
      <c r="V111" s="26" t="n">
        <v>6</v>
      </c>
      <c r="W111" s="26" t="n">
        <v>6</v>
      </c>
      <c r="X111" s="26" t="n">
        <v>6</v>
      </c>
      <c r="Y111" s="26" t="n">
        <v>6</v>
      </c>
      <c r="Z111" s="26" t="n">
        <v>6</v>
      </c>
      <c r="AA111" s="26" t="n">
        <v>6</v>
      </c>
      <c r="AB111" s="26" t="n">
        <v>6</v>
      </c>
      <c r="AC111" s="26" t="n">
        <v>6</v>
      </c>
      <c r="AD111" s="26" t="n">
        <v>6</v>
      </c>
      <c r="AE111" s="26" t="n">
        <v>6</v>
      </c>
      <c r="AF111" s="26" t="n">
        <v>6</v>
      </c>
      <c r="AG111" s="26" t="n">
        <v>6</v>
      </c>
      <c r="AH111" s="26" t="n">
        <v>6</v>
      </c>
      <c r="AI111" s="26" t="n">
        <v>6</v>
      </c>
      <c r="AJ111" s="26" t="n">
        <v>6</v>
      </c>
      <c r="AK111" s="26" t="n">
        <v>6</v>
      </c>
      <c r="AL111" s="26" t="n">
        <v>6</v>
      </c>
      <c r="AM111" s="26" t="n">
        <v>6</v>
      </c>
      <c r="AN111" s="26" t="n">
        <v>6</v>
      </c>
      <c r="AO111" s="26" t="n">
        <v>6</v>
      </c>
      <c r="AP111" s="26" t="n">
        <v>6</v>
      </c>
      <c r="AQ111" s="26" t="n">
        <v>6</v>
      </c>
      <c r="AR111" s="26" t="n">
        <v>6</v>
      </c>
      <c r="AS111" s="26" t="n">
        <v>6</v>
      </c>
      <c r="AT111" s="26" t="n">
        <v>6</v>
      </c>
      <c r="AU111" s="26" t="n">
        <v>6</v>
      </c>
      <c r="AV111" s="26" t="n">
        <v>6</v>
      </c>
      <c r="AW111" s="26" t="n">
        <v>6</v>
      </c>
      <c r="AX111" s="26" t="n">
        <v>6</v>
      </c>
      <c r="AY111" s="26" t="n">
        <v>6</v>
      </c>
      <c r="AZ111" s="26" t="n">
        <v>6</v>
      </c>
      <c r="BA111" s="26" t="n">
        <v>3</v>
      </c>
      <c r="BB111" s="26" t="n">
        <v>0</v>
      </c>
      <c r="BC111" s="26" t="n">
        <v>0</v>
      </c>
      <c r="BD111" s="26" t="n">
        <v>0</v>
      </c>
      <c r="BE111" s="26" t="n">
        <v>0</v>
      </c>
      <c r="BF111" s="26" t="n">
        <v>0</v>
      </c>
      <c r="BG111" s="26" t="n">
        <v>0</v>
      </c>
      <c r="BH111" s="26" t="n">
        <v>0</v>
      </c>
      <c r="BI111" s="26" t="n">
        <v>0</v>
      </c>
      <c r="BJ111" s="26" t="n">
        <v>0</v>
      </c>
      <c r="BK111" s="26" t="n">
        <v>0</v>
      </c>
      <c r="BL111" s="26" t="n">
        <v>0</v>
      </c>
      <c r="BM111" s="26" t="n">
        <v>0</v>
      </c>
    </row>
    <row r="112" ht="15.75" customHeight="1">
      <c r="A112" s="23" t="inlineStr">
        <is>
          <t>TA 3.2 – Actualizando el diagrama de componentes con el módulo de reportes</t>
        </is>
      </c>
      <c r="B112" s="24" t="inlineStr">
        <is>
          <t>Roberto Seguel</t>
        </is>
      </c>
      <c r="C112" s="40" t="inlineStr">
        <is>
          <t>Incremento 3</t>
        </is>
      </c>
      <c r="D112" s="26" t="n"/>
      <c r="E112" s="26" t="n">
        <v>6</v>
      </c>
      <c r="F112" s="26" t="n">
        <v>6</v>
      </c>
      <c r="G112" s="26" t="n">
        <v>6</v>
      </c>
      <c r="H112" s="26" t="n">
        <v>6</v>
      </c>
      <c r="I112" s="26" t="n">
        <v>6</v>
      </c>
      <c r="J112" s="26" t="n">
        <v>6</v>
      </c>
      <c r="K112" s="26" t="n">
        <v>6</v>
      </c>
      <c r="L112" s="26" t="n">
        <v>6</v>
      </c>
      <c r="M112" s="26" t="n">
        <v>6</v>
      </c>
      <c r="N112" s="26" t="n">
        <v>6</v>
      </c>
      <c r="O112" s="26" t="n">
        <v>6</v>
      </c>
      <c r="P112" s="26" t="n">
        <v>6</v>
      </c>
      <c r="Q112" s="26" t="n">
        <v>6</v>
      </c>
      <c r="R112" s="26" t="n">
        <v>6</v>
      </c>
      <c r="S112" s="26" t="n">
        <v>6</v>
      </c>
      <c r="T112" s="26" t="n">
        <v>6</v>
      </c>
      <c r="U112" s="26" t="n">
        <v>6</v>
      </c>
      <c r="V112" s="26" t="n">
        <v>6</v>
      </c>
      <c r="W112" s="26" t="n">
        <v>6</v>
      </c>
      <c r="X112" s="26" t="n">
        <v>6</v>
      </c>
      <c r="Y112" s="26" t="n">
        <v>6</v>
      </c>
      <c r="Z112" s="26" t="n">
        <v>6</v>
      </c>
      <c r="AA112" s="26" t="n">
        <v>6</v>
      </c>
      <c r="AB112" s="26" t="n">
        <v>6</v>
      </c>
      <c r="AC112" s="26" t="n">
        <v>6</v>
      </c>
      <c r="AD112" s="26" t="n">
        <v>6</v>
      </c>
      <c r="AE112" s="26" t="n">
        <v>6</v>
      </c>
      <c r="AF112" s="26" t="n">
        <v>6</v>
      </c>
      <c r="AG112" s="26" t="n">
        <v>6</v>
      </c>
      <c r="AH112" s="26" t="n">
        <v>6</v>
      </c>
      <c r="AI112" s="26" t="n">
        <v>6</v>
      </c>
      <c r="AJ112" s="26" t="n">
        <v>6</v>
      </c>
      <c r="AK112" s="26" t="n">
        <v>6</v>
      </c>
      <c r="AL112" s="26" t="n">
        <v>6</v>
      </c>
      <c r="AM112" s="26" t="n">
        <v>6</v>
      </c>
      <c r="AN112" s="26" t="n">
        <v>6</v>
      </c>
      <c r="AO112" s="26" t="n">
        <v>6</v>
      </c>
      <c r="AP112" s="26" t="n">
        <v>6</v>
      </c>
      <c r="AQ112" s="26" t="n">
        <v>6</v>
      </c>
      <c r="AR112" s="26" t="n">
        <v>6</v>
      </c>
      <c r="AS112" s="26" t="n">
        <v>6</v>
      </c>
      <c r="AT112" s="26" t="n">
        <v>6</v>
      </c>
      <c r="AU112" s="26" t="n">
        <v>6</v>
      </c>
      <c r="AV112" s="26" t="n">
        <v>6</v>
      </c>
      <c r="AW112" s="26" t="n">
        <v>6</v>
      </c>
      <c r="AX112" s="26" t="n">
        <v>6</v>
      </c>
      <c r="AY112" s="26" t="n">
        <v>6</v>
      </c>
      <c r="AZ112" s="26" t="n">
        <v>6</v>
      </c>
      <c r="BA112" s="26" t="n">
        <v>6</v>
      </c>
      <c r="BB112" s="26" t="n">
        <v>6</v>
      </c>
      <c r="BC112" s="26" t="n">
        <v>3</v>
      </c>
      <c r="BD112" s="26" t="n">
        <v>0</v>
      </c>
      <c r="BE112" s="26" t="n">
        <v>0</v>
      </c>
      <c r="BF112" s="26" t="n">
        <v>0</v>
      </c>
      <c r="BG112" s="26" t="n">
        <v>0</v>
      </c>
      <c r="BH112" s="26" t="n">
        <v>0</v>
      </c>
      <c r="BI112" s="26" t="n">
        <v>0</v>
      </c>
      <c r="BJ112" s="26" t="n">
        <v>0</v>
      </c>
      <c r="BK112" s="26" t="n">
        <v>0</v>
      </c>
      <c r="BL112" s="26" t="n">
        <v>0</v>
      </c>
      <c r="BM112" s="26" t="n">
        <v>0</v>
      </c>
    </row>
    <row r="113" ht="15.75" customHeight="1">
      <c r="A113" s="23" t="inlineStr">
        <is>
          <t>TA 3.3 – Actualizando el diagrama de despliegue de la vista física</t>
        </is>
      </c>
      <c r="B113" s="24" t="inlineStr">
        <is>
          <t>Josué Barrera</t>
        </is>
      </c>
      <c r="C113" s="40" t="inlineStr">
        <is>
          <t>Incremento 3</t>
        </is>
      </c>
      <c r="D113" s="26" t="n"/>
      <c r="E113" s="26" t="n">
        <v>4</v>
      </c>
      <c r="F113" s="26" t="n">
        <v>4</v>
      </c>
      <c r="G113" s="26" t="n">
        <v>4</v>
      </c>
      <c r="H113" s="26" t="n">
        <v>4</v>
      </c>
      <c r="I113" s="26" t="n">
        <v>4</v>
      </c>
      <c r="J113" s="26" t="n">
        <v>4</v>
      </c>
      <c r="K113" s="26" t="n">
        <v>4</v>
      </c>
      <c r="L113" s="26" t="n">
        <v>4</v>
      </c>
      <c r="M113" s="26" t="n">
        <v>4</v>
      </c>
      <c r="N113" s="26" t="n">
        <v>4</v>
      </c>
      <c r="O113" s="26" t="n">
        <v>4</v>
      </c>
      <c r="P113" s="26" t="n">
        <v>4</v>
      </c>
      <c r="Q113" s="26" t="n">
        <v>4</v>
      </c>
      <c r="R113" s="26" t="n">
        <v>4</v>
      </c>
      <c r="S113" s="26" t="n">
        <v>4</v>
      </c>
      <c r="T113" s="26" t="n">
        <v>4</v>
      </c>
      <c r="U113" s="26" t="n">
        <v>4</v>
      </c>
      <c r="V113" s="26" t="n">
        <v>4</v>
      </c>
      <c r="W113" s="26" t="n">
        <v>4</v>
      </c>
      <c r="X113" s="26" t="n">
        <v>4</v>
      </c>
      <c r="Y113" s="26" t="n">
        <v>4</v>
      </c>
      <c r="Z113" s="26" t="n">
        <v>4</v>
      </c>
      <c r="AA113" s="26" t="n">
        <v>4</v>
      </c>
      <c r="AB113" s="26" t="n">
        <v>4</v>
      </c>
      <c r="AC113" s="26" t="n">
        <v>4</v>
      </c>
      <c r="AD113" s="26" t="n">
        <v>4</v>
      </c>
      <c r="AE113" s="26" t="n">
        <v>4</v>
      </c>
      <c r="AF113" s="26" t="n">
        <v>4</v>
      </c>
      <c r="AG113" s="26" t="n">
        <v>4</v>
      </c>
      <c r="AH113" s="26" t="n">
        <v>4</v>
      </c>
      <c r="AI113" s="26" t="n">
        <v>4</v>
      </c>
      <c r="AJ113" s="26" t="n">
        <v>4</v>
      </c>
      <c r="AK113" s="26" t="n">
        <v>4</v>
      </c>
      <c r="AL113" s="26" t="n">
        <v>4</v>
      </c>
      <c r="AM113" s="26" t="n">
        <v>4</v>
      </c>
      <c r="AN113" s="26" t="n">
        <v>4</v>
      </c>
      <c r="AO113" s="26" t="n">
        <v>4</v>
      </c>
      <c r="AP113" s="26" t="n">
        <v>4</v>
      </c>
      <c r="AQ113" s="26" t="n">
        <v>4</v>
      </c>
      <c r="AR113" s="26" t="n">
        <v>4</v>
      </c>
      <c r="AS113" s="26" t="n">
        <v>4</v>
      </c>
      <c r="AT113" s="26" t="n">
        <v>4</v>
      </c>
      <c r="AU113" s="26" t="n">
        <v>4</v>
      </c>
      <c r="AV113" s="26" t="n">
        <v>4</v>
      </c>
      <c r="AW113" s="26" t="n">
        <v>4</v>
      </c>
      <c r="AX113" s="26" t="n">
        <v>4</v>
      </c>
      <c r="AY113" s="26" t="n">
        <v>4</v>
      </c>
      <c r="AZ113" s="26" t="n">
        <v>4</v>
      </c>
      <c r="BA113" s="26" t="n">
        <v>4</v>
      </c>
      <c r="BB113" s="26" t="n">
        <v>4</v>
      </c>
      <c r="BC113" s="26" t="n">
        <v>4</v>
      </c>
      <c r="BD113" s="26" t="n">
        <v>0</v>
      </c>
      <c r="BE113" s="26" t="n">
        <v>0</v>
      </c>
      <c r="BF113" s="26" t="n">
        <v>0</v>
      </c>
      <c r="BG113" s="26" t="n">
        <v>0</v>
      </c>
      <c r="BH113" s="26" t="n">
        <v>0</v>
      </c>
      <c r="BI113" s="26" t="n">
        <v>0</v>
      </c>
      <c r="BJ113" s="26" t="n">
        <v>0</v>
      </c>
      <c r="BK113" s="26" t="n">
        <v>0</v>
      </c>
      <c r="BL113" s="26" t="n">
        <v>0</v>
      </c>
      <c r="BM113" s="26" t="n">
        <v>0</v>
      </c>
    </row>
    <row r="114" ht="15.75" customHeight="1">
      <c r="A114" s="23" t="inlineStr">
        <is>
          <t>TA 3.4 – Realizando los diagramas de secuencia del flujo principal</t>
        </is>
      </c>
      <c r="B114" s="24" t="inlineStr">
        <is>
          <t>Catalina Lino</t>
        </is>
      </c>
      <c r="C114" s="40" t="inlineStr">
        <is>
          <t>Incremento 3</t>
        </is>
      </c>
      <c r="D114" s="26" t="n"/>
      <c r="E114" s="26" t="n">
        <v>12</v>
      </c>
      <c r="F114" s="26" t="n">
        <v>12</v>
      </c>
      <c r="G114" s="26" t="n">
        <v>12</v>
      </c>
      <c r="H114" s="26" t="n">
        <v>12</v>
      </c>
      <c r="I114" s="26" t="n">
        <v>12</v>
      </c>
      <c r="J114" s="26" t="n">
        <v>12</v>
      </c>
      <c r="K114" s="26" t="n">
        <v>12</v>
      </c>
      <c r="L114" s="26" t="n">
        <v>12</v>
      </c>
      <c r="M114" s="26" t="n">
        <v>12</v>
      </c>
      <c r="N114" s="26" t="n">
        <v>12</v>
      </c>
      <c r="O114" s="26" t="n">
        <v>12</v>
      </c>
      <c r="P114" s="26" t="n">
        <v>12</v>
      </c>
      <c r="Q114" s="26" t="n">
        <v>12</v>
      </c>
      <c r="R114" s="26" t="n">
        <v>12</v>
      </c>
      <c r="S114" s="26" t="n">
        <v>12</v>
      </c>
      <c r="T114" s="26" t="n">
        <v>12</v>
      </c>
      <c r="U114" s="26" t="n">
        <v>12</v>
      </c>
      <c r="V114" s="26" t="n">
        <v>12</v>
      </c>
      <c r="W114" s="26" t="n">
        <v>12</v>
      </c>
      <c r="X114" s="26" t="n">
        <v>12</v>
      </c>
      <c r="Y114" s="26" t="n">
        <v>12</v>
      </c>
      <c r="Z114" s="26" t="n">
        <v>12</v>
      </c>
      <c r="AA114" s="26" t="n">
        <v>12</v>
      </c>
      <c r="AB114" s="26" t="n">
        <v>12</v>
      </c>
      <c r="AC114" s="26" t="n">
        <v>12</v>
      </c>
      <c r="AD114" s="26" t="n">
        <v>12</v>
      </c>
      <c r="AE114" s="26" t="n">
        <v>12</v>
      </c>
      <c r="AF114" s="26" t="n">
        <v>12</v>
      </c>
      <c r="AG114" s="26" t="n">
        <v>12</v>
      </c>
      <c r="AH114" s="26" t="n">
        <v>12</v>
      </c>
      <c r="AI114" s="26" t="n">
        <v>12</v>
      </c>
      <c r="AJ114" s="26" t="n">
        <v>12</v>
      </c>
      <c r="AK114" s="26" t="n">
        <v>12</v>
      </c>
      <c r="AL114" s="26" t="n">
        <v>12</v>
      </c>
      <c r="AM114" s="26" t="n">
        <v>12</v>
      </c>
      <c r="AN114" s="26" t="n">
        <v>12</v>
      </c>
      <c r="AO114" s="26" t="n">
        <v>12</v>
      </c>
      <c r="AP114" s="26" t="n">
        <v>12</v>
      </c>
      <c r="AQ114" s="26" t="n">
        <v>12</v>
      </c>
      <c r="AR114" s="26" t="n">
        <v>12</v>
      </c>
      <c r="AS114" s="26" t="n">
        <v>12</v>
      </c>
      <c r="AT114" s="26" t="n">
        <v>12</v>
      </c>
      <c r="AU114" s="26" t="n">
        <v>12</v>
      </c>
      <c r="AV114" s="26" t="n">
        <v>12</v>
      </c>
      <c r="AW114" s="26" t="n">
        <v>12</v>
      </c>
      <c r="AX114" s="26" t="n">
        <v>12</v>
      </c>
      <c r="AY114" s="26" t="n">
        <v>12</v>
      </c>
      <c r="AZ114" s="26" t="n">
        <v>12</v>
      </c>
      <c r="BA114" s="26" t="n">
        <v>12</v>
      </c>
      <c r="BB114" s="26" t="n">
        <v>12</v>
      </c>
      <c r="BC114" s="26" t="n">
        <v>9</v>
      </c>
      <c r="BD114" s="26" t="n">
        <v>6</v>
      </c>
      <c r="BE114" s="26" t="n">
        <v>3</v>
      </c>
      <c r="BF114" s="26" t="n">
        <v>0</v>
      </c>
      <c r="BG114" s="26" t="n">
        <v>0</v>
      </c>
      <c r="BH114" s="26" t="n">
        <v>0</v>
      </c>
      <c r="BI114" s="26" t="n">
        <v>0</v>
      </c>
      <c r="BJ114" s="26" t="n">
        <v>0</v>
      </c>
      <c r="BK114" s="26" t="n">
        <v>0</v>
      </c>
      <c r="BL114" s="26" t="n">
        <v>0</v>
      </c>
      <c r="BM114" s="26" t="n">
        <v>0</v>
      </c>
    </row>
    <row r="115" ht="15.75" customHeight="1">
      <c r="A115" s="23" t="inlineStr">
        <is>
          <t>TA 3.5 – Realizando los diagramas de secuencia de las excepciones</t>
        </is>
      </c>
      <c r="B115" s="24" t="inlineStr">
        <is>
          <t>Catalina Lino</t>
        </is>
      </c>
      <c r="C115" s="40" t="inlineStr">
        <is>
          <t>Incremento 3</t>
        </is>
      </c>
      <c r="D115" s="26" t="n"/>
      <c r="E115" s="26" t="n">
        <v>6</v>
      </c>
      <c r="F115" s="26" t="n">
        <v>6</v>
      </c>
      <c r="G115" s="26" t="n">
        <v>6</v>
      </c>
      <c r="H115" s="26" t="n">
        <v>6</v>
      </c>
      <c r="I115" s="26" t="n">
        <v>6</v>
      </c>
      <c r="J115" s="26" t="n">
        <v>6</v>
      </c>
      <c r="K115" s="26" t="n">
        <v>6</v>
      </c>
      <c r="L115" s="26" t="n">
        <v>6</v>
      </c>
      <c r="M115" s="26" t="n">
        <v>6</v>
      </c>
      <c r="N115" s="26" t="n">
        <v>6</v>
      </c>
      <c r="O115" s="26" t="n">
        <v>6</v>
      </c>
      <c r="P115" s="26" t="n">
        <v>6</v>
      </c>
      <c r="Q115" s="26" t="n">
        <v>6</v>
      </c>
      <c r="R115" s="26" t="n">
        <v>6</v>
      </c>
      <c r="S115" s="26" t="n">
        <v>6</v>
      </c>
      <c r="T115" s="26" t="n">
        <v>6</v>
      </c>
      <c r="U115" s="26" t="n">
        <v>6</v>
      </c>
      <c r="V115" s="26" t="n">
        <v>6</v>
      </c>
      <c r="W115" s="26" t="n">
        <v>6</v>
      </c>
      <c r="X115" s="26" t="n">
        <v>6</v>
      </c>
      <c r="Y115" s="26" t="n">
        <v>6</v>
      </c>
      <c r="Z115" s="26" t="n">
        <v>6</v>
      </c>
      <c r="AA115" s="26" t="n">
        <v>6</v>
      </c>
      <c r="AB115" s="26" t="n">
        <v>6</v>
      </c>
      <c r="AC115" s="26" t="n">
        <v>6</v>
      </c>
      <c r="AD115" s="26" t="n">
        <v>6</v>
      </c>
      <c r="AE115" s="26" t="n">
        <v>6</v>
      </c>
      <c r="AF115" s="26" t="n">
        <v>6</v>
      </c>
      <c r="AG115" s="26" t="n">
        <v>6</v>
      </c>
      <c r="AH115" s="26" t="n">
        <v>6</v>
      </c>
      <c r="AI115" s="26" t="n">
        <v>6</v>
      </c>
      <c r="AJ115" s="26" t="n">
        <v>6</v>
      </c>
      <c r="AK115" s="26" t="n">
        <v>6</v>
      </c>
      <c r="AL115" s="26" t="n">
        <v>6</v>
      </c>
      <c r="AM115" s="26" t="n">
        <v>6</v>
      </c>
      <c r="AN115" s="26" t="n">
        <v>6</v>
      </c>
      <c r="AO115" s="26" t="n">
        <v>6</v>
      </c>
      <c r="AP115" s="26" t="n">
        <v>6</v>
      </c>
      <c r="AQ115" s="26" t="n">
        <v>6</v>
      </c>
      <c r="AR115" s="26" t="n">
        <v>6</v>
      </c>
      <c r="AS115" s="26" t="n">
        <v>6</v>
      </c>
      <c r="AT115" s="26" t="n">
        <v>6</v>
      </c>
      <c r="AU115" s="26" t="n">
        <v>6</v>
      </c>
      <c r="AV115" s="26" t="n">
        <v>6</v>
      </c>
      <c r="AW115" s="26" t="n">
        <v>6</v>
      </c>
      <c r="AX115" s="26" t="n">
        <v>6</v>
      </c>
      <c r="AY115" s="26" t="n">
        <v>6</v>
      </c>
      <c r="AZ115" s="26" t="n">
        <v>6</v>
      </c>
      <c r="BA115" s="26" t="n">
        <v>6</v>
      </c>
      <c r="BB115" s="26" t="n">
        <v>6</v>
      </c>
      <c r="BC115" s="26" t="n">
        <v>6</v>
      </c>
      <c r="BD115" s="26" t="n">
        <v>6</v>
      </c>
      <c r="BE115" s="26" t="n">
        <v>6</v>
      </c>
      <c r="BF115" s="26" t="n">
        <v>4</v>
      </c>
      <c r="BG115" s="26" t="n">
        <v>2</v>
      </c>
      <c r="BH115" s="26" t="n">
        <v>0</v>
      </c>
      <c r="BI115" s="26" t="n">
        <v>0</v>
      </c>
      <c r="BJ115" s="26" t="n">
        <v>0</v>
      </c>
      <c r="BK115" s="26" t="n">
        <v>0</v>
      </c>
      <c r="BL115" s="26" t="n">
        <v>0</v>
      </c>
      <c r="BM115" s="26" t="n">
        <v>0</v>
      </c>
    </row>
    <row r="116" ht="15.75" customHeight="1">
      <c r="A116" s="23" t="inlineStr">
        <is>
          <t>TA 4.1 – Redactando la introducción y la definición del incremento 3</t>
        </is>
      </c>
      <c r="B116" s="24" t="inlineStr">
        <is>
          <t>Rocío Olguín</t>
        </is>
      </c>
      <c r="C116" s="40" t="inlineStr">
        <is>
          <t>Incremento 3</t>
        </is>
      </c>
      <c r="D116" s="26" t="n"/>
      <c r="E116" s="26" t="n">
        <v>4</v>
      </c>
      <c r="F116" s="26" t="n">
        <v>4</v>
      </c>
      <c r="G116" s="26" t="n">
        <v>4</v>
      </c>
      <c r="H116" s="26" t="n">
        <v>4</v>
      </c>
      <c r="I116" s="26" t="n">
        <v>4</v>
      </c>
      <c r="J116" s="26" t="n">
        <v>4</v>
      </c>
      <c r="K116" s="26" t="n">
        <v>4</v>
      </c>
      <c r="L116" s="26" t="n">
        <v>4</v>
      </c>
      <c r="M116" s="26" t="n">
        <v>4</v>
      </c>
      <c r="N116" s="26" t="n">
        <v>4</v>
      </c>
      <c r="O116" s="26" t="n">
        <v>4</v>
      </c>
      <c r="P116" s="26" t="n">
        <v>4</v>
      </c>
      <c r="Q116" s="26" t="n">
        <v>4</v>
      </c>
      <c r="R116" s="26" t="n">
        <v>4</v>
      </c>
      <c r="S116" s="26" t="n">
        <v>4</v>
      </c>
      <c r="T116" s="26" t="n">
        <v>4</v>
      </c>
      <c r="U116" s="26" t="n">
        <v>4</v>
      </c>
      <c r="V116" s="26" t="n">
        <v>4</v>
      </c>
      <c r="W116" s="26" t="n">
        <v>4</v>
      </c>
      <c r="X116" s="26" t="n">
        <v>4</v>
      </c>
      <c r="Y116" s="26" t="n">
        <v>4</v>
      </c>
      <c r="Z116" s="26" t="n">
        <v>4</v>
      </c>
      <c r="AA116" s="26" t="n">
        <v>4</v>
      </c>
      <c r="AB116" s="26" t="n">
        <v>4</v>
      </c>
      <c r="AC116" s="26" t="n">
        <v>4</v>
      </c>
      <c r="AD116" s="26" t="n">
        <v>4</v>
      </c>
      <c r="AE116" s="26" t="n">
        <v>4</v>
      </c>
      <c r="AF116" s="26" t="n">
        <v>4</v>
      </c>
      <c r="AG116" s="26" t="n">
        <v>4</v>
      </c>
      <c r="AH116" s="26" t="n">
        <v>4</v>
      </c>
      <c r="AI116" s="26" t="n">
        <v>4</v>
      </c>
      <c r="AJ116" s="26" t="n">
        <v>4</v>
      </c>
      <c r="AK116" s="26" t="n">
        <v>4</v>
      </c>
      <c r="AL116" s="26" t="n">
        <v>4</v>
      </c>
      <c r="AM116" s="26" t="n">
        <v>4</v>
      </c>
      <c r="AN116" s="26" t="n">
        <v>4</v>
      </c>
      <c r="AO116" s="26" t="n">
        <v>4</v>
      </c>
      <c r="AP116" s="26" t="n">
        <v>4</v>
      </c>
      <c r="AQ116" s="26" t="n">
        <v>4</v>
      </c>
      <c r="AR116" s="26" t="n">
        <v>4</v>
      </c>
      <c r="AS116" s="26" t="n">
        <v>4</v>
      </c>
      <c r="AT116" s="26" t="n">
        <v>4</v>
      </c>
      <c r="AU116" s="26" t="n">
        <v>4</v>
      </c>
      <c r="AV116" s="26" t="n">
        <v>4</v>
      </c>
      <c r="AW116" s="26" t="n">
        <v>4</v>
      </c>
      <c r="AX116" s="26" t="n">
        <v>4</v>
      </c>
      <c r="AY116" s="26" t="n">
        <v>4</v>
      </c>
      <c r="AZ116" s="26" t="n">
        <v>4</v>
      </c>
      <c r="BA116" s="26" t="n">
        <v>4</v>
      </c>
      <c r="BB116" s="26" t="n">
        <v>4</v>
      </c>
      <c r="BC116" s="26" t="n">
        <v>4</v>
      </c>
      <c r="BD116" s="26" t="n">
        <v>4</v>
      </c>
      <c r="BE116" s="26" t="n">
        <v>4</v>
      </c>
      <c r="BF116" s="26" t="n">
        <v>4</v>
      </c>
      <c r="BG116" s="26" t="n">
        <v>0</v>
      </c>
      <c r="BH116" s="26" t="n">
        <v>0</v>
      </c>
      <c r="BI116" s="26" t="n">
        <v>0</v>
      </c>
      <c r="BJ116" s="26" t="n">
        <v>0</v>
      </c>
      <c r="BK116" s="26" t="n">
        <v>0</v>
      </c>
      <c r="BL116" s="26" t="n">
        <v>0</v>
      </c>
      <c r="BM116" s="26" t="n">
        <v>0</v>
      </c>
    </row>
    <row r="117" ht="15.75" customHeight="1">
      <c r="A117" s="23" t="inlineStr">
        <is>
          <t>TA 4.2 – Elaborando el Product Backlog List del incremento 3</t>
        </is>
      </c>
      <c r="B117" s="24" t="inlineStr">
        <is>
          <t>Rocío Olguín</t>
        </is>
      </c>
      <c r="C117" s="40" t="inlineStr">
        <is>
          <t>Incremento 3</t>
        </is>
      </c>
      <c r="D117" s="26" t="n"/>
      <c r="E117" s="26" t="n">
        <v>6</v>
      </c>
      <c r="F117" s="26" t="n">
        <v>6</v>
      </c>
      <c r="G117" s="26" t="n">
        <v>6</v>
      </c>
      <c r="H117" s="26" t="n">
        <v>6</v>
      </c>
      <c r="I117" s="26" t="n">
        <v>6</v>
      </c>
      <c r="J117" s="26" t="n">
        <v>6</v>
      </c>
      <c r="K117" s="26" t="n">
        <v>6</v>
      </c>
      <c r="L117" s="26" t="n">
        <v>6</v>
      </c>
      <c r="M117" s="26" t="n">
        <v>6</v>
      </c>
      <c r="N117" s="26" t="n">
        <v>6</v>
      </c>
      <c r="O117" s="26" t="n">
        <v>6</v>
      </c>
      <c r="P117" s="26" t="n">
        <v>6</v>
      </c>
      <c r="Q117" s="26" t="n">
        <v>6</v>
      </c>
      <c r="R117" s="26" t="n">
        <v>6</v>
      </c>
      <c r="S117" s="26" t="n">
        <v>6</v>
      </c>
      <c r="T117" s="26" t="n">
        <v>6</v>
      </c>
      <c r="U117" s="26" t="n">
        <v>6</v>
      </c>
      <c r="V117" s="26" t="n">
        <v>6</v>
      </c>
      <c r="W117" s="26" t="n">
        <v>6</v>
      </c>
      <c r="X117" s="26" t="n">
        <v>6</v>
      </c>
      <c r="Y117" s="26" t="n">
        <v>6</v>
      </c>
      <c r="Z117" s="26" t="n">
        <v>6</v>
      </c>
      <c r="AA117" s="26" t="n">
        <v>6</v>
      </c>
      <c r="AB117" s="26" t="n">
        <v>6</v>
      </c>
      <c r="AC117" s="26" t="n">
        <v>6</v>
      </c>
      <c r="AD117" s="26" t="n">
        <v>6</v>
      </c>
      <c r="AE117" s="26" t="n">
        <v>6</v>
      </c>
      <c r="AF117" s="26" t="n">
        <v>6</v>
      </c>
      <c r="AG117" s="26" t="n">
        <v>6</v>
      </c>
      <c r="AH117" s="26" t="n">
        <v>6</v>
      </c>
      <c r="AI117" s="26" t="n">
        <v>6</v>
      </c>
      <c r="AJ117" s="26" t="n">
        <v>6</v>
      </c>
      <c r="AK117" s="26" t="n">
        <v>6</v>
      </c>
      <c r="AL117" s="26" t="n">
        <v>6</v>
      </c>
      <c r="AM117" s="26" t="n">
        <v>6</v>
      </c>
      <c r="AN117" s="26" t="n">
        <v>6</v>
      </c>
      <c r="AO117" s="26" t="n">
        <v>6</v>
      </c>
      <c r="AP117" s="26" t="n">
        <v>6</v>
      </c>
      <c r="AQ117" s="26" t="n">
        <v>6</v>
      </c>
      <c r="AR117" s="26" t="n">
        <v>6</v>
      </c>
      <c r="AS117" s="26" t="n">
        <v>6</v>
      </c>
      <c r="AT117" s="26" t="n">
        <v>6</v>
      </c>
      <c r="AU117" s="26" t="n">
        <v>6</v>
      </c>
      <c r="AV117" s="26" t="n">
        <v>6</v>
      </c>
      <c r="AW117" s="26" t="n">
        <v>6</v>
      </c>
      <c r="AX117" s="26" t="n">
        <v>6</v>
      </c>
      <c r="AY117" s="26" t="n">
        <v>6</v>
      </c>
      <c r="AZ117" s="26" t="n">
        <v>6</v>
      </c>
      <c r="BA117" s="26" t="n">
        <v>6</v>
      </c>
      <c r="BB117" s="26" t="n">
        <v>6</v>
      </c>
      <c r="BC117" s="26" t="n">
        <v>6</v>
      </c>
      <c r="BD117" s="26" t="n">
        <v>6</v>
      </c>
      <c r="BE117" s="26" t="n">
        <v>6</v>
      </c>
      <c r="BF117" s="26" t="n">
        <v>6</v>
      </c>
      <c r="BG117" s="26" t="n">
        <v>6</v>
      </c>
      <c r="BH117" s="26" t="n">
        <v>3</v>
      </c>
      <c r="BI117" s="26" t="n">
        <v>0</v>
      </c>
      <c r="BJ117" s="26" t="n">
        <v>0</v>
      </c>
      <c r="BK117" s="26" t="n">
        <v>0</v>
      </c>
      <c r="BL117" s="26" t="n">
        <v>0</v>
      </c>
      <c r="BM117" s="26" t="n">
        <v>0</v>
      </c>
    </row>
    <row r="118" ht="15.75" customHeight="1">
      <c r="A118" s="23" t="inlineStr">
        <is>
          <t>TA 4.3 – Elaborando el Product Backlog List heredado de los incrementos 1 y 2</t>
        </is>
      </c>
      <c r="B118" s="24" t="inlineStr">
        <is>
          <t>Rocío Olguín</t>
        </is>
      </c>
      <c r="C118" s="40" t="inlineStr">
        <is>
          <t>Incremento 3</t>
        </is>
      </c>
      <c r="D118" s="26" t="n"/>
      <c r="E118" s="26" t="n">
        <v>6</v>
      </c>
      <c r="F118" s="26" t="n">
        <v>6</v>
      </c>
      <c r="G118" s="26" t="n">
        <v>6</v>
      </c>
      <c r="H118" s="26" t="n">
        <v>6</v>
      </c>
      <c r="I118" s="26" t="n">
        <v>6</v>
      </c>
      <c r="J118" s="26" t="n">
        <v>6</v>
      </c>
      <c r="K118" s="26" t="n">
        <v>6</v>
      </c>
      <c r="L118" s="26" t="n">
        <v>6</v>
      </c>
      <c r="M118" s="26" t="n">
        <v>6</v>
      </c>
      <c r="N118" s="26" t="n">
        <v>6</v>
      </c>
      <c r="O118" s="26" t="n">
        <v>6</v>
      </c>
      <c r="P118" s="26" t="n">
        <v>6</v>
      </c>
      <c r="Q118" s="26" t="n">
        <v>6</v>
      </c>
      <c r="R118" s="26" t="n">
        <v>6</v>
      </c>
      <c r="S118" s="26" t="n">
        <v>6</v>
      </c>
      <c r="T118" s="26" t="n">
        <v>6</v>
      </c>
      <c r="U118" s="26" t="n">
        <v>6</v>
      </c>
      <c r="V118" s="26" t="n">
        <v>6</v>
      </c>
      <c r="W118" s="26" t="n">
        <v>6</v>
      </c>
      <c r="X118" s="26" t="n">
        <v>6</v>
      </c>
      <c r="Y118" s="26" t="n">
        <v>6</v>
      </c>
      <c r="Z118" s="26" t="n">
        <v>6</v>
      </c>
      <c r="AA118" s="26" t="n">
        <v>6</v>
      </c>
      <c r="AB118" s="26" t="n">
        <v>6</v>
      </c>
      <c r="AC118" s="26" t="n">
        <v>6</v>
      </c>
      <c r="AD118" s="26" t="n">
        <v>6</v>
      </c>
      <c r="AE118" s="26" t="n">
        <v>6</v>
      </c>
      <c r="AF118" s="26" t="n">
        <v>6</v>
      </c>
      <c r="AG118" s="26" t="n">
        <v>6</v>
      </c>
      <c r="AH118" s="26" t="n">
        <v>6</v>
      </c>
      <c r="AI118" s="26" t="n">
        <v>6</v>
      </c>
      <c r="AJ118" s="26" t="n">
        <v>6</v>
      </c>
      <c r="AK118" s="26" t="n">
        <v>6</v>
      </c>
      <c r="AL118" s="26" t="n">
        <v>6</v>
      </c>
      <c r="AM118" s="26" t="n">
        <v>6</v>
      </c>
      <c r="AN118" s="26" t="n">
        <v>6</v>
      </c>
      <c r="AO118" s="26" t="n">
        <v>6</v>
      </c>
      <c r="AP118" s="26" t="n">
        <v>6</v>
      </c>
      <c r="AQ118" s="26" t="n">
        <v>6</v>
      </c>
      <c r="AR118" s="26" t="n">
        <v>6</v>
      </c>
      <c r="AS118" s="26" t="n">
        <v>6</v>
      </c>
      <c r="AT118" s="26" t="n">
        <v>6</v>
      </c>
      <c r="AU118" s="26" t="n">
        <v>6</v>
      </c>
      <c r="AV118" s="26" t="n">
        <v>6</v>
      </c>
      <c r="AW118" s="26" t="n">
        <v>6</v>
      </c>
      <c r="AX118" s="26" t="n">
        <v>6</v>
      </c>
      <c r="AY118" s="26" t="n">
        <v>6</v>
      </c>
      <c r="AZ118" s="26" t="n">
        <v>6</v>
      </c>
      <c r="BA118" s="26" t="n">
        <v>6</v>
      </c>
      <c r="BB118" s="26" t="n">
        <v>6</v>
      </c>
      <c r="BC118" s="26" t="n">
        <v>6</v>
      </c>
      <c r="BD118" s="26" t="n">
        <v>6</v>
      </c>
      <c r="BE118" s="26" t="n">
        <v>6</v>
      </c>
      <c r="BF118" s="26" t="n">
        <v>6</v>
      </c>
      <c r="BG118" s="26" t="n">
        <v>6</v>
      </c>
      <c r="BH118" s="26" t="n">
        <v>3</v>
      </c>
      <c r="BI118" s="26" t="n">
        <v>0</v>
      </c>
      <c r="BJ118" s="26" t="n">
        <v>0</v>
      </c>
      <c r="BK118" s="26" t="n">
        <v>0</v>
      </c>
      <c r="BL118" s="26" t="n">
        <v>0</v>
      </c>
      <c r="BM118" s="26" t="n">
        <v>0</v>
      </c>
    </row>
    <row r="119" ht="15.75" customHeight="1">
      <c r="A119" s="23" t="inlineStr">
        <is>
          <t>TA 4.4 – Levantando las capturas de pantalla del sistema en ejecución</t>
        </is>
      </c>
      <c r="B119" s="24" t="inlineStr">
        <is>
          <t>Rocío Olguín</t>
        </is>
      </c>
      <c r="C119" s="40" t="inlineStr">
        <is>
          <t>Incremento 3</t>
        </is>
      </c>
      <c r="D119" s="26" t="n"/>
      <c r="E119" s="26" t="n">
        <v>8</v>
      </c>
      <c r="F119" s="26" t="n">
        <v>8</v>
      </c>
      <c r="G119" s="26" t="n">
        <v>8</v>
      </c>
      <c r="H119" s="26" t="n">
        <v>8</v>
      </c>
      <c r="I119" s="26" t="n">
        <v>8</v>
      </c>
      <c r="J119" s="26" t="n">
        <v>8</v>
      </c>
      <c r="K119" s="26" t="n">
        <v>8</v>
      </c>
      <c r="L119" s="26" t="n">
        <v>8</v>
      </c>
      <c r="M119" s="26" t="n">
        <v>8</v>
      </c>
      <c r="N119" s="26" t="n">
        <v>8</v>
      </c>
      <c r="O119" s="26" t="n">
        <v>8</v>
      </c>
      <c r="P119" s="26" t="n">
        <v>8</v>
      </c>
      <c r="Q119" s="26" t="n">
        <v>8</v>
      </c>
      <c r="R119" s="26" t="n">
        <v>8</v>
      </c>
      <c r="S119" s="26" t="n">
        <v>8</v>
      </c>
      <c r="T119" s="26" t="n">
        <v>8</v>
      </c>
      <c r="U119" s="26" t="n">
        <v>8</v>
      </c>
      <c r="V119" s="26" t="n">
        <v>8</v>
      </c>
      <c r="W119" s="26" t="n">
        <v>8</v>
      </c>
      <c r="X119" s="26" t="n">
        <v>8</v>
      </c>
      <c r="Y119" s="26" t="n">
        <v>8</v>
      </c>
      <c r="Z119" s="26" t="n">
        <v>8</v>
      </c>
      <c r="AA119" s="26" t="n">
        <v>8</v>
      </c>
      <c r="AB119" s="26" t="n">
        <v>8</v>
      </c>
      <c r="AC119" s="26" t="n">
        <v>8</v>
      </c>
      <c r="AD119" s="26" t="n">
        <v>8</v>
      </c>
      <c r="AE119" s="26" t="n">
        <v>8</v>
      </c>
      <c r="AF119" s="26" t="n">
        <v>8</v>
      </c>
      <c r="AG119" s="26" t="n">
        <v>8</v>
      </c>
      <c r="AH119" s="26" t="n">
        <v>8</v>
      </c>
      <c r="AI119" s="26" t="n">
        <v>8</v>
      </c>
      <c r="AJ119" s="26" t="n">
        <v>8</v>
      </c>
      <c r="AK119" s="26" t="n">
        <v>8</v>
      </c>
      <c r="AL119" s="26" t="n">
        <v>8</v>
      </c>
      <c r="AM119" s="26" t="n">
        <v>8</v>
      </c>
      <c r="AN119" s="26" t="n">
        <v>8</v>
      </c>
      <c r="AO119" s="26" t="n">
        <v>8</v>
      </c>
      <c r="AP119" s="26" t="n">
        <v>8</v>
      </c>
      <c r="AQ119" s="26" t="n">
        <v>8</v>
      </c>
      <c r="AR119" s="26" t="n">
        <v>8</v>
      </c>
      <c r="AS119" s="26" t="n">
        <v>8</v>
      </c>
      <c r="AT119" s="26" t="n">
        <v>8</v>
      </c>
      <c r="AU119" s="26" t="n">
        <v>8</v>
      </c>
      <c r="AV119" s="26" t="n">
        <v>8</v>
      </c>
      <c r="AW119" s="26" t="n">
        <v>8</v>
      </c>
      <c r="AX119" s="26" t="n">
        <v>8</v>
      </c>
      <c r="AY119" s="26" t="n">
        <v>8</v>
      </c>
      <c r="AZ119" s="26" t="n">
        <v>8</v>
      </c>
      <c r="BA119" s="26" t="n">
        <v>8</v>
      </c>
      <c r="BB119" s="26" t="n">
        <v>8</v>
      </c>
      <c r="BC119" s="26" t="n">
        <v>8</v>
      </c>
      <c r="BD119" s="26" t="n">
        <v>8</v>
      </c>
      <c r="BE119" s="26" t="n">
        <v>8</v>
      </c>
      <c r="BF119" s="26" t="n">
        <v>8</v>
      </c>
      <c r="BG119" s="26" t="n">
        <v>8</v>
      </c>
      <c r="BH119" s="26" t="n">
        <v>8</v>
      </c>
      <c r="BI119" s="26" t="n">
        <v>4</v>
      </c>
      <c r="BJ119" s="26" t="n">
        <v>0</v>
      </c>
      <c r="BK119" s="26" t="n">
        <v>0</v>
      </c>
      <c r="BL119" s="26" t="n">
        <v>0</v>
      </c>
      <c r="BM119" s="26" t="n">
        <v>0</v>
      </c>
    </row>
    <row r="120" ht="15.75" customHeight="1">
      <c r="A120" s="23" t="inlineStr">
        <is>
          <t>TA 4.5 – Construyendo la tabla de esfuerzo del sprint</t>
        </is>
      </c>
      <c r="B120" s="24" t="inlineStr">
        <is>
          <t>Alexander Hanke</t>
        </is>
      </c>
      <c r="C120" s="40" t="inlineStr">
        <is>
          <t>Incremento 3</t>
        </is>
      </c>
      <c r="D120" s="26" t="n"/>
      <c r="E120" s="26" t="n">
        <v>6</v>
      </c>
      <c r="F120" s="26" t="n">
        <v>6</v>
      </c>
      <c r="G120" s="26" t="n">
        <v>6</v>
      </c>
      <c r="H120" s="26" t="n">
        <v>6</v>
      </c>
      <c r="I120" s="26" t="n">
        <v>6</v>
      </c>
      <c r="J120" s="26" t="n">
        <v>6</v>
      </c>
      <c r="K120" s="26" t="n">
        <v>6</v>
      </c>
      <c r="L120" s="26" t="n">
        <v>6</v>
      </c>
      <c r="M120" s="26" t="n">
        <v>6</v>
      </c>
      <c r="N120" s="26" t="n">
        <v>6</v>
      </c>
      <c r="O120" s="26" t="n">
        <v>6</v>
      </c>
      <c r="P120" s="26" t="n">
        <v>6</v>
      </c>
      <c r="Q120" s="26" t="n">
        <v>6</v>
      </c>
      <c r="R120" s="26" t="n">
        <v>6</v>
      </c>
      <c r="S120" s="26" t="n">
        <v>6</v>
      </c>
      <c r="T120" s="26" t="n">
        <v>6</v>
      </c>
      <c r="U120" s="26" t="n">
        <v>6</v>
      </c>
      <c r="V120" s="26" t="n">
        <v>6</v>
      </c>
      <c r="W120" s="26" t="n">
        <v>6</v>
      </c>
      <c r="X120" s="26" t="n">
        <v>6</v>
      </c>
      <c r="Y120" s="26" t="n">
        <v>6</v>
      </c>
      <c r="Z120" s="26" t="n">
        <v>6</v>
      </c>
      <c r="AA120" s="26" t="n">
        <v>6</v>
      </c>
      <c r="AB120" s="26" t="n">
        <v>6</v>
      </c>
      <c r="AC120" s="26" t="n">
        <v>6</v>
      </c>
      <c r="AD120" s="26" t="n">
        <v>6</v>
      </c>
      <c r="AE120" s="26" t="n">
        <v>6</v>
      </c>
      <c r="AF120" s="26" t="n">
        <v>6</v>
      </c>
      <c r="AG120" s="26" t="n">
        <v>6</v>
      </c>
      <c r="AH120" s="26" t="n">
        <v>6</v>
      </c>
      <c r="AI120" s="26" t="n">
        <v>6</v>
      </c>
      <c r="AJ120" s="26" t="n">
        <v>6</v>
      </c>
      <c r="AK120" s="26" t="n">
        <v>6</v>
      </c>
      <c r="AL120" s="26" t="n">
        <v>6</v>
      </c>
      <c r="AM120" s="26" t="n">
        <v>6</v>
      </c>
      <c r="AN120" s="26" t="n">
        <v>6</v>
      </c>
      <c r="AO120" s="26" t="n">
        <v>6</v>
      </c>
      <c r="AP120" s="26" t="n">
        <v>6</v>
      </c>
      <c r="AQ120" s="26" t="n">
        <v>6</v>
      </c>
      <c r="AR120" s="26" t="n">
        <v>6</v>
      </c>
      <c r="AS120" s="26" t="n">
        <v>6</v>
      </c>
      <c r="AT120" s="26" t="n">
        <v>6</v>
      </c>
      <c r="AU120" s="26" t="n">
        <v>6</v>
      </c>
      <c r="AV120" s="26" t="n">
        <v>6</v>
      </c>
      <c r="AW120" s="26" t="n">
        <v>6</v>
      </c>
      <c r="AX120" s="26" t="n">
        <v>6</v>
      </c>
      <c r="AY120" s="26" t="n">
        <v>6</v>
      </c>
      <c r="AZ120" s="26" t="n">
        <v>6</v>
      </c>
      <c r="BA120" s="26" t="n">
        <v>6</v>
      </c>
      <c r="BB120" s="26" t="n">
        <v>6</v>
      </c>
      <c r="BC120" s="26" t="n">
        <v>6</v>
      </c>
      <c r="BD120" s="26" t="n">
        <v>6</v>
      </c>
      <c r="BE120" s="26" t="n">
        <v>6</v>
      </c>
      <c r="BF120" s="26" t="n">
        <v>6</v>
      </c>
      <c r="BG120" s="26" t="n">
        <v>6</v>
      </c>
      <c r="BH120" s="26" t="n">
        <v>6</v>
      </c>
      <c r="BI120" s="26" t="n">
        <v>6</v>
      </c>
      <c r="BJ120" s="26" t="n">
        <v>0</v>
      </c>
      <c r="BK120" s="26" t="n">
        <v>0</v>
      </c>
      <c r="BL120" s="26" t="n">
        <v>0</v>
      </c>
      <c r="BM120" s="26" t="n">
        <v>0</v>
      </c>
    </row>
    <row r="121" ht="15.75" customHeight="1">
      <c r="A121" s="23" t="inlineStr">
        <is>
          <t>TA 4.6 – Generando las gráficas de seguimiento burn-down y burn-up</t>
        </is>
      </c>
      <c r="B121" s="24" t="inlineStr">
        <is>
          <t>Alexander Hanke</t>
        </is>
      </c>
      <c r="C121" s="40" t="inlineStr">
        <is>
          <t>Incremento 3</t>
        </is>
      </c>
      <c r="D121" s="26" t="n"/>
      <c r="E121" s="26" t="n">
        <v>4</v>
      </c>
      <c r="F121" s="26" t="n">
        <v>4</v>
      </c>
      <c r="G121" s="26" t="n">
        <v>4</v>
      </c>
      <c r="H121" s="26" t="n">
        <v>4</v>
      </c>
      <c r="I121" s="26" t="n">
        <v>4</v>
      </c>
      <c r="J121" s="26" t="n">
        <v>4</v>
      </c>
      <c r="K121" s="26" t="n">
        <v>4</v>
      </c>
      <c r="L121" s="26" t="n">
        <v>4</v>
      </c>
      <c r="M121" s="26" t="n">
        <v>4</v>
      </c>
      <c r="N121" s="26" t="n">
        <v>4</v>
      </c>
      <c r="O121" s="26" t="n">
        <v>4</v>
      </c>
      <c r="P121" s="26" t="n">
        <v>4</v>
      </c>
      <c r="Q121" s="26" t="n">
        <v>4</v>
      </c>
      <c r="R121" s="26" t="n">
        <v>4</v>
      </c>
      <c r="S121" s="26" t="n">
        <v>4</v>
      </c>
      <c r="T121" s="26" t="n">
        <v>4</v>
      </c>
      <c r="U121" s="26" t="n">
        <v>4</v>
      </c>
      <c r="V121" s="26" t="n">
        <v>4</v>
      </c>
      <c r="W121" s="26" t="n">
        <v>4</v>
      </c>
      <c r="X121" s="26" t="n">
        <v>4</v>
      </c>
      <c r="Y121" s="26" t="n">
        <v>4</v>
      </c>
      <c r="Z121" s="26" t="n">
        <v>4</v>
      </c>
      <c r="AA121" s="26" t="n">
        <v>4</v>
      </c>
      <c r="AB121" s="26" t="n">
        <v>4</v>
      </c>
      <c r="AC121" s="26" t="n">
        <v>4</v>
      </c>
      <c r="AD121" s="26" t="n">
        <v>4</v>
      </c>
      <c r="AE121" s="26" t="n">
        <v>4</v>
      </c>
      <c r="AF121" s="26" t="n">
        <v>4</v>
      </c>
      <c r="AG121" s="26" t="n">
        <v>4</v>
      </c>
      <c r="AH121" s="26" t="n">
        <v>4</v>
      </c>
      <c r="AI121" s="26" t="n">
        <v>4</v>
      </c>
      <c r="AJ121" s="26" t="n">
        <v>4</v>
      </c>
      <c r="AK121" s="26" t="n">
        <v>4</v>
      </c>
      <c r="AL121" s="26" t="n">
        <v>4</v>
      </c>
      <c r="AM121" s="26" t="n">
        <v>4</v>
      </c>
      <c r="AN121" s="26" t="n">
        <v>4</v>
      </c>
      <c r="AO121" s="26" t="n">
        <v>4</v>
      </c>
      <c r="AP121" s="26" t="n">
        <v>4</v>
      </c>
      <c r="AQ121" s="26" t="n">
        <v>4</v>
      </c>
      <c r="AR121" s="26" t="n">
        <v>4</v>
      </c>
      <c r="AS121" s="26" t="n">
        <v>4</v>
      </c>
      <c r="AT121" s="26" t="n">
        <v>4</v>
      </c>
      <c r="AU121" s="26" t="n">
        <v>4</v>
      </c>
      <c r="AV121" s="26" t="n">
        <v>4</v>
      </c>
      <c r="AW121" s="26" t="n">
        <v>4</v>
      </c>
      <c r="AX121" s="26" t="n">
        <v>4</v>
      </c>
      <c r="AY121" s="26" t="n">
        <v>4</v>
      </c>
      <c r="AZ121" s="26" t="n">
        <v>4</v>
      </c>
      <c r="BA121" s="26" t="n">
        <v>4</v>
      </c>
      <c r="BB121" s="26" t="n">
        <v>4</v>
      </c>
      <c r="BC121" s="26" t="n">
        <v>4</v>
      </c>
      <c r="BD121" s="26" t="n">
        <v>4</v>
      </c>
      <c r="BE121" s="26" t="n">
        <v>4</v>
      </c>
      <c r="BF121" s="26" t="n">
        <v>4</v>
      </c>
      <c r="BG121" s="26" t="n">
        <v>4</v>
      </c>
      <c r="BH121" s="26" t="n">
        <v>4</v>
      </c>
      <c r="BI121" s="26" t="n">
        <v>4</v>
      </c>
      <c r="BJ121" s="26" t="n">
        <v>4</v>
      </c>
      <c r="BK121" s="26" t="n">
        <v>0</v>
      </c>
      <c r="BL121" s="26" t="n">
        <v>0</v>
      </c>
      <c r="BM121" s="26" t="n">
        <v>0</v>
      </c>
    </row>
    <row r="122" ht="15.75" customHeight="1">
      <c r="A122" s="23" t="inlineStr">
        <is>
          <t>TA 4.7 – Redactando el cierre del sprint y el análisis del incremento</t>
        </is>
      </c>
      <c r="B122" s="24" t="inlineStr">
        <is>
          <t>Rocío Olguín</t>
        </is>
      </c>
      <c r="C122" s="40" t="inlineStr">
        <is>
          <t>Incremento 3</t>
        </is>
      </c>
      <c r="D122" s="26" t="n"/>
      <c r="E122" s="26" t="n">
        <v>4</v>
      </c>
      <c r="F122" s="26" t="n">
        <v>4</v>
      </c>
      <c r="G122" s="26" t="n">
        <v>4</v>
      </c>
      <c r="H122" s="26" t="n">
        <v>4</v>
      </c>
      <c r="I122" s="26" t="n">
        <v>4</v>
      </c>
      <c r="J122" s="26" t="n">
        <v>4</v>
      </c>
      <c r="K122" s="26" t="n">
        <v>4</v>
      </c>
      <c r="L122" s="26" t="n">
        <v>4</v>
      </c>
      <c r="M122" s="26" t="n">
        <v>4</v>
      </c>
      <c r="N122" s="26" t="n">
        <v>4</v>
      </c>
      <c r="O122" s="26" t="n">
        <v>4</v>
      </c>
      <c r="P122" s="26" t="n">
        <v>4</v>
      </c>
      <c r="Q122" s="26" t="n">
        <v>4</v>
      </c>
      <c r="R122" s="26" t="n">
        <v>4</v>
      </c>
      <c r="S122" s="26" t="n">
        <v>4</v>
      </c>
      <c r="T122" s="26" t="n">
        <v>4</v>
      </c>
      <c r="U122" s="26" t="n">
        <v>4</v>
      </c>
      <c r="V122" s="26" t="n">
        <v>4</v>
      </c>
      <c r="W122" s="26" t="n">
        <v>4</v>
      </c>
      <c r="X122" s="26" t="n">
        <v>4</v>
      </c>
      <c r="Y122" s="26" t="n">
        <v>4</v>
      </c>
      <c r="Z122" s="26" t="n">
        <v>4</v>
      </c>
      <c r="AA122" s="26" t="n">
        <v>4</v>
      </c>
      <c r="AB122" s="26" t="n">
        <v>4</v>
      </c>
      <c r="AC122" s="26" t="n">
        <v>4</v>
      </c>
      <c r="AD122" s="26" t="n">
        <v>4</v>
      </c>
      <c r="AE122" s="26" t="n">
        <v>4</v>
      </c>
      <c r="AF122" s="26" t="n">
        <v>4</v>
      </c>
      <c r="AG122" s="26" t="n">
        <v>4</v>
      </c>
      <c r="AH122" s="26" t="n">
        <v>4</v>
      </c>
      <c r="AI122" s="26" t="n">
        <v>4</v>
      </c>
      <c r="AJ122" s="26" t="n">
        <v>4</v>
      </c>
      <c r="AK122" s="26" t="n">
        <v>4</v>
      </c>
      <c r="AL122" s="26" t="n">
        <v>4</v>
      </c>
      <c r="AM122" s="26" t="n">
        <v>4</v>
      </c>
      <c r="AN122" s="26" t="n">
        <v>4</v>
      </c>
      <c r="AO122" s="26" t="n">
        <v>4</v>
      </c>
      <c r="AP122" s="26" t="n">
        <v>4</v>
      </c>
      <c r="AQ122" s="26" t="n">
        <v>4</v>
      </c>
      <c r="AR122" s="26" t="n">
        <v>4</v>
      </c>
      <c r="AS122" s="26" t="n">
        <v>4</v>
      </c>
      <c r="AT122" s="26" t="n">
        <v>4</v>
      </c>
      <c r="AU122" s="26" t="n">
        <v>4</v>
      </c>
      <c r="AV122" s="26" t="n">
        <v>4</v>
      </c>
      <c r="AW122" s="26" t="n">
        <v>4</v>
      </c>
      <c r="AX122" s="26" t="n">
        <v>4</v>
      </c>
      <c r="AY122" s="26" t="n">
        <v>4</v>
      </c>
      <c r="AZ122" s="26" t="n">
        <v>4</v>
      </c>
      <c r="BA122" s="26" t="n">
        <v>4</v>
      </c>
      <c r="BB122" s="26" t="n">
        <v>4</v>
      </c>
      <c r="BC122" s="26" t="n">
        <v>4</v>
      </c>
      <c r="BD122" s="26" t="n">
        <v>4</v>
      </c>
      <c r="BE122" s="26" t="n">
        <v>4</v>
      </c>
      <c r="BF122" s="26" t="n">
        <v>4</v>
      </c>
      <c r="BG122" s="26" t="n">
        <v>4</v>
      </c>
      <c r="BH122" s="26" t="n">
        <v>4</v>
      </c>
      <c r="BI122" s="26" t="n">
        <v>4</v>
      </c>
      <c r="BJ122" s="26" t="n">
        <v>4</v>
      </c>
      <c r="BK122" s="26" t="n">
        <v>0</v>
      </c>
      <c r="BL122" s="26" t="n">
        <v>0</v>
      </c>
      <c r="BM122" s="26" t="n">
        <v>0</v>
      </c>
    </row>
    <row r="123" ht="15.75" customHeight="1">
      <c r="A123" s="23" t="inlineStr">
        <is>
          <t>TA 5.1 – Ejecutando las pruebas de regresión de los casos de uso de los incrementos 1 y 2</t>
        </is>
      </c>
      <c r="B123" s="24" t="inlineStr">
        <is>
          <t>Josué Barrera</t>
        </is>
      </c>
      <c r="C123" s="40" t="inlineStr">
        <is>
          <t>Incremento 3</t>
        </is>
      </c>
      <c r="D123" s="26" t="n"/>
      <c r="E123" s="26" t="n">
        <v>8</v>
      </c>
      <c r="F123" s="26" t="n">
        <v>8</v>
      </c>
      <c r="G123" s="26" t="n">
        <v>8</v>
      </c>
      <c r="H123" s="26" t="n">
        <v>8</v>
      </c>
      <c r="I123" s="26" t="n">
        <v>8</v>
      </c>
      <c r="J123" s="26" t="n">
        <v>8</v>
      </c>
      <c r="K123" s="26" t="n">
        <v>8</v>
      </c>
      <c r="L123" s="26" t="n">
        <v>8</v>
      </c>
      <c r="M123" s="26" t="n">
        <v>8</v>
      </c>
      <c r="N123" s="26" t="n">
        <v>8</v>
      </c>
      <c r="O123" s="26" t="n">
        <v>8</v>
      </c>
      <c r="P123" s="26" t="n">
        <v>8</v>
      </c>
      <c r="Q123" s="26" t="n">
        <v>8</v>
      </c>
      <c r="R123" s="26" t="n">
        <v>8</v>
      </c>
      <c r="S123" s="26" t="n">
        <v>8</v>
      </c>
      <c r="T123" s="26" t="n">
        <v>8</v>
      </c>
      <c r="U123" s="26" t="n">
        <v>8</v>
      </c>
      <c r="V123" s="26" t="n">
        <v>8</v>
      </c>
      <c r="W123" s="26" t="n">
        <v>8</v>
      </c>
      <c r="X123" s="26" t="n">
        <v>8</v>
      </c>
      <c r="Y123" s="26" t="n">
        <v>8</v>
      </c>
      <c r="Z123" s="26" t="n">
        <v>8</v>
      </c>
      <c r="AA123" s="26" t="n">
        <v>8</v>
      </c>
      <c r="AB123" s="26" t="n">
        <v>8</v>
      </c>
      <c r="AC123" s="26" t="n">
        <v>8</v>
      </c>
      <c r="AD123" s="26" t="n">
        <v>8</v>
      </c>
      <c r="AE123" s="26" t="n">
        <v>8</v>
      </c>
      <c r="AF123" s="26" t="n">
        <v>8</v>
      </c>
      <c r="AG123" s="26" t="n">
        <v>8</v>
      </c>
      <c r="AH123" s="26" t="n">
        <v>8</v>
      </c>
      <c r="AI123" s="26" t="n">
        <v>8</v>
      </c>
      <c r="AJ123" s="26" t="n">
        <v>8</v>
      </c>
      <c r="AK123" s="26" t="n">
        <v>8</v>
      </c>
      <c r="AL123" s="26" t="n">
        <v>8</v>
      </c>
      <c r="AM123" s="26" t="n">
        <v>8</v>
      </c>
      <c r="AN123" s="26" t="n">
        <v>8</v>
      </c>
      <c r="AO123" s="26" t="n">
        <v>8</v>
      </c>
      <c r="AP123" s="26" t="n">
        <v>8</v>
      </c>
      <c r="AQ123" s="26" t="n">
        <v>8</v>
      </c>
      <c r="AR123" s="26" t="n">
        <v>8</v>
      </c>
      <c r="AS123" s="26" t="n">
        <v>8</v>
      </c>
      <c r="AT123" s="26" t="n">
        <v>8</v>
      </c>
      <c r="AU123" s="26" t="n">
        <v>8</v>
      </c>
      <c r="AV123" s="26" t="n">
        <v>8</v>
      </c>
      <c r="AW123" s="26" t="n">
        <v>8</v>
      </c>
      <c r="AX123" s="26" t="n">
        <v>8</v>
      </c>
      <c r="AY123" s="26" t="n">
        <v>8</v>
      </c>
      <c r="AZ123" s="26" t="n">
        <v>8</v>
      </c>
      <c r="BA123" s="26" t="n">
        <v>8</v>
      </c>
      <c r="BB123" s="26" t="n">
        <v>8</v>
      </c>
      <c r="BC123" s="26" t="n">
        <v>8</v>
      </c>
      <c r="BD123" s="26" t="n">
        <v>8</v>
      </c>
      <c r="BE123" s="26" t="n">
        <v>8</v>
      </c>
      <c r="BF123" s="26" t="n">
        <v>8</v>
      </c>
      <c r="BG123" s="26" t="n">
        <v>8</v>
      </c>
      <c r="BH123" s="26" t="n">
        <v>8</v>
      </c>
      <c r="BI123" s="26" t="n">
        <v>4</v>
      </c>
      <c r="BJ123" s="26" t="n">
        <v>0</v>
      </c>
      <c r="BK123" s="26" t="n">
        <v>0</v>
      </c>
      <c r="BL123" s="26" t="n">
        <v>0</v>
      </c>
      <c r="BM123" s="26" t="n">
        <v>0</v>
      </c>
    </row>
    <row r="124" ht="15.75" customHeight="1">
      <c r="A124" s="23" t="inlineStr">
        <is>
          <t>TA 5.2 – Documentando las pruebas de casos de uso heredadas</t>
        </is>
      </c>
      <c r="B124" s="24" t="inlineStr">
        <is>
          <t>Rocío Olguín</t>
        </is>
      </c>
      <c r="C124" s="40" t="inlineStr">
        <is>
          <t>Incremento 3</t>
        </is>
      </c>
      <c r="D124" s="26" t="n"/>
      <c r="E124" s="26" t="n">
        <v>4</v>
      </c>
      <c r="F124" s="26" t="n">
        <v>4</v>
      </c>
      <c r="G124" s="26" t="n">
        <v>4</v>
      </c>
      <c r="H124" s="26" t="n">
        <v>4</v>
      </c>
      <c r="I124" s="26" t="n">
        <v>4</v>
      </c>
      <c r="J124" s="26" t="n">
        <v>4</v>
      </c>
      <c r="K124" s="26" t="n">
        <v>4</v>
      </c>
      <c r="L124" s="26" t="n">
        <v>4</v>
      </c>
      <c r="M124" s="26" t="n">
        <v>4</v>
      </c>
      <c r="N124" s="26" t="n">
        <v>4</v>
      </c>
      <c r="O124" s="26" t="n">
        <v>4</v>
      </c>
      <c r="P124" s="26" t="n">
        <v>4</v>
      </c>
      <c r="Q124" s="26" t="n">
        <v>4</v>
      </c>
      <c r="R124" s="26" t="n">
        <v>4</v>
      </c>
      <c r="S124" s="26" t="n">
        <v>4</v>
      </c>
      <c r="T124" s="26" t="n">
        <v>4</v>
      </c>
      <c r="U124" s="26" t="n">
        <v>4</v>
      </c>
      <c r="V124" s="26" t="n">
        <v>4</v>
      </c>
      <c r="W124" s="26" t="n">
        <v>4</v>
      </c>
      <c r="X124" s="26" t="n">
        <v>4</v>
      </c>
      <c r="Y124" s="26" t="n">
        <v>4</v>
      </c>
      <c r="Z124" s="26" t="n">
        <v>4</v>
      </c>
      <c r="AA124" s="26" t="n">
        <v>4</v>
      </c>
      <c r="AB124" s="26" t="n">
        <v>4</v>
      </c>
      <c r="AC124" s="26" t="n">
        <v>4</v>
      </c>
      <c r="AD124" s="26" t="n">
        <v>4</v>
      </c>
      <c r="AE124" s="26" t="n">
        <v>4</v>
      </c>
      <c r="AF124" s="26" t="n">
        <v>4</v>
      </c>
      <c r="AG124" s="26" t="n">
        <v>4</v>
      </c>
      <c r="AH124" s="26" t="n">
        <v>4</v>
      </c>
      <c r="AI124" s="26" t="n">
        <v>4</v>
      </c>
      <c r="AJ124" s="26" t="n">
        <v>4</v>
      </c>
      <c r="AK124" s="26" t="n">
        <v>4</v>
      </c>
      <c r="AL124" s="26" t="n">
        <v>4</v>
      </c>
      <c r="AM124" s="26" t="n">
        <v>4</v>
      </c>
      <c r="AN124" s="26" t="n">
        <v>4</v>
      </c>
      <c r="AO124" s="26" t="n">
        <v>4</v>
      </c>
      <c r="AP124" s="26" t="n">
        <v>4</v>
      </c>
      <c r="AQ124" s="26" t="n">
        <v>4</v>
      </c>
      <c r="AR124" s="26" t="n">
        <v>4</v>
      </c>
      <c r="AS124" s="26" t="n">
        <v>4</v>
      </c>
      <c r="AT124" s="26" t="n">
        <v>4</v>
      </c>
      <c r="AU124" s="26" t="n">
        <v>4</v>
      </c>
      <c r="AV124" s="26" t="n">
        <v>4</v>
      </c>
      <c r="AW124" s="26" t="n">
        <v>4</v>
      </c>
      <c r="AX124" s="26" t="n">
        <v>4</v>
      </c>
      <c r="AY124" s="26" t="n">
        <v>4</v>
      </c>
      <c r="AZ124" s="26" t="n">
        <v>4</v>
      </c>
      <c r="BA124" s="26" t="n">
        <v>4</v>
      </c>
      <c r="BB124" s="26" t="n">
        <v>4</v>
      </c>
      <c r="BC124" s="26" t="n">
        <v>4</v>
      </c>
      <c r="BD124" s="26" t="n">
        <v>4</v>
      </c>
      <c r="BE124" s="26" t="n">
        <v>4</v>
      </c>
      <c r="BF124" s="26" t="n">
        <v>4</v>
      </c>
      <c r="BG124" s="26" t="n">
        <v>4</v>
      </c>
      <c r="BH124" s="26" t="n">
        <v>4</v>
      </c>
      <c r="BI124" s="26" t="n">
        <v>4</v>
      </c>
      <c r="BJ124" s="26" t="n">
        <v>2</v>
      </c>
      <c r="BK124" s="26" t="n">
        <v>0</v>
      </c>
      <c r="BL124" s="26" t="n">
        <v>0</v>
      </c>
      <c r="BM124" s="26" t="n">
        <v>0</v>
      </c>
    </row>
    <row r="125" ht="15.75" customHeight="1">
      <c r="A125" s="23" t="inlineStr">
        <is>
          <t>TA 5.3 – Documentando las pruebas de casos de uso del incremento 3</t>
        </is>
      </c>
      <c r="B125" s="24" t="inlineStr">
        <is>
          <t>Catalina Lino</t>
        </is>
      </c>
      <c r="C125" s="40" t="inlineStr">
        <is>
          <t>Incremento 3</t>
        </is>
      </c>
      <c r="D125" s="26" t="n"/>
      <c r="E125" s="26" t="n">
        <v>8</v>
      </c>
      <c r="F125" s="26" t="n">
        <v>8</v>
      </c>
      <c r="G125" s="26" t="n">
        <v>8</v>
      </c>
      <c r="H125" s="26" t="n">
        <v>8</v>
      </c>
      <c r="I125" s="26" t="n">
        <v>8</v>
      </c>
      <c r="J125" s="26" t="n">
        <v>8</v>
      </c>
      <c r="K125" s="26" t="n">
        <v>8</v>
      </c>
      <c r="L125" s="26" t="n">
        <v>8</v>
      </c>
      <c r="M125" s="26" t="n">
        <v>8</v>
      </c>
      <c r="N125" s="26" t="n">
        <v>8</v>
      </c>
      <c r="O125" s="26" t="n">
        <v>8</v>
      </c>
      <c r="P125" s="26" t="n">
        <v>8</v>
      </c>
      <c r="Q125" s="26" t="n">
        <v>8</v>
      </c>
      <c r="R125" s="26" t="n">
        <v>8</v>
      </c>
      <c r="S125" s="26" t="n">
        <v>8</v>
      </c>
      <c r="T125" s="26" t="n">
        <v>8</v>
      </c>
      <c r="U125" s="26" t="n">
        <v>8</v>
      </c>
      <c r="V125" s="26" t="n">
        <v>8</v>
      </c>
      <c r="W125" s="26" t="n">
        <v>8</v>
      </c>
      <c r="X125" s="26" t="n">
        <v>8</v>
      </c>
      <c r="Y125" s="26" t="n">
        <v>8</v>
      </c>
      <c r="Z125" s="26" t="n">
        <v>8</v>
      </c>
      <c r="AA125" s="26" t="n">
        <v>8</v>
      </c>
      <c r="AB125" s="26" t="n">
        <v>8</v>
      </c>
      <c r="AC125" s="26" t="n">
        <v>8</v>
      </c>
      <c r="AD125" s="26" t="n">
        <v>8</v>
      </c>
      <c r="AE125" s="26" t="n">
        <v>8</v>
      </c>
      <c r="AF125" s="26" t="n">
        <v>8</v>
      </c>
      <c r="AG125" s="26" t="n">
        <v>8</v>
      </c>
      <c r="AH125" s="26" t="n">
        <v>8</v>
      </c>
      <c r="AI125" s="26" t="n">
        <v>8</v>
      </c>
      <c r="AJ125" s="26" t="n">
        <v>8</v>
      </c>
      <c r="AK125" s="26" t="n">
        <v>8</v>
      </c>
      <c r="AL125" s="26" t="n">
        <v>8</v>
      </c>
      <c r="AM125" s="26" t="n">
        <v>8</v>
      </c>
      <c r="AN125" s="26" t="n">
        <v>8</v>
      </c>
      <c r="AO125" s="26" t="n">
        <v>8</v>
      </c>
      <c r="AP125" s="26" t="n">
        <v>8</v>
      </c>
      <c r="AQ125" s="26" t="n">
        <v>8</v>
      </c>
      <c r="AR125" s="26" t="n">
        <v>8</v>
      </c>
      <c r="AS125" s="26" t="n">
        <v>8</v>
      </c>
      <c r="AT125" s="26" t="n">
        <v>8</v>
      </c>
      <c r="AU125" s="26" t="n">
        <v>8</v>
      </c>
      <c r="AV125" s="26" t="n">
        <v>8</v>
      </c>
      <c r="AW125" s="26" t="n">
        <v>8</v>
      </c>
      <c r="AX125" s="26" t="n">
        <v>8</v>
      </c>
      <c r="AY125" s="26" t="n">
        <v>8</v>
      </c>
      <c r="AZ125" s="26" t="n">
        <v>8</v>
      </c>
      <c r="BA125" s="26" t="n">
        <v>8</v>
      </c>
      <c r="BB125" s="26" t="n">
        <v>8</v>
      </c>
      <c r="BC125" s="26" t="n">
        <v>8</v>
      </c>
      <c r="BD125" s="26" t="n">
        <v>8</v>
      </c>
      <c r="BE125" s="26" t="n">
        <v>8</v>
      </c>
      <c r="BF125" s="26" t="n">
        <v>8</v>
      </c>
      <c r="BG125" s="26" t="n">
        <v>8</v>
      </c>
      <c r="BH125" s="26" t="n">
        <v>8</v>
      </c>
      <c r="BI125" s="26" t="n">
        <v>8</v>
      </c>
      <c r="BJ125" s="26" t="n">
        <v>4</v>
      </c>
      <c r="BK125" s="26" t="n">
        <v>0</v>
      </c>
      <c r="BL125" s="26" t="n">
        <v>0</v>
      </c>
      <c r="BM125" s="26" t="n">
        <v>0</v>
      </c>
    </row>
    <row r="126" ht="15.75" customHeight="1">
      <c r="A126" s="23" t="inlineStr">
        <is>
          <t>TA 5.4 – Registrando la evidencia de las tres iteraciones de pruebas</t>
        </is>
      </c>
      <c r="B126" s="24" t="inlineStr">
        <is>
          <t>Josué Barrera</t>
        </is>
      </c>
      <c r="C126" s="40" t="inlineStr">
        <is>
          <t>Incremento 3</t>
        </is>
      </c>
      <c r="D126" s="26" t="n"/>
      <c r="E126" s="26" t="n">
        <v>6</v>
      </c>
      <c r="F126" s="26" t="n">
        <v>6</v>
      </c>
      <c r="G126" s="26" t="n">
        <v>6</v>
      </c>
      <c r="H126" s="26" t="n">
        <v>6</v>
      </c>
      <c r="I126" s="26" t="n">
        <v>6</v>
      </c>
      <c r="J126" s="26" t="n">
        <v>6</v>
      </c>
      <c r="K126" s="26" t="n">
        <v>6</v>
      </c>
      <c r="L126" s="26" t="n">
        <v>6</v>
      </c>
      <c r="M126" s="26" t="n">
        <v>6</v>
      </c>
      <c r="N126" s="26" t="n">
        <v>6</v>
      </c>
      <c r="O126" s="26" t="n">
        <v>6</v>
      </c>
      <c r="P126" s="26" t="n">
        <v>6</v>
      </c>
      <c r="Q126" s="26" t="n">
        <v>6</v>
      </c>
      <c r="R126" s="26" t="n">
        <v>6</v>
      </c>
      <c r="S126" s="26" t="n">
        <v>6</v>
      </c>
      <c r="T126" s="26" t="n">
        <v>6</v>
      </c>
      <c r="U126" s="26" t="n">
        <v>6</v>
      </c>
      <c r="V126" s="26" t="n">
        <v>6</v>
      </c>
      <c r="W126" s="26" t="n">
        <v>6</v>
      </c>
      <c r="X126" s="26" t="n">
        <v>6</v>
      </c>
      <c r="Y126" s="26" t="n">
        <v>6</v>
      </c>
      <c r="Z126" s="26" t="n">
        <v>6</v>
      </c>
      <c r="AA126" s="26" t="n">
        <v>6</v>
      </c>
      <c r="AB126" s="26" t="n">
        <v>6</v>
      </c>
      <c r="AC126" s="26" t="n">
        <v>6</v>
      </c>
      <c r="AD126" s="26" t="n">
        <v>6</v>
      </c>
      <c r="AE126" s="26" t="n">
        <v>6</v>
      </c>
      <c r="AF126" s="26" t="n">
        <v>6</v>
      </c>
      <c r="AG126" s="26" t="n">
        <v>6</v>
      </c>
      <c r="AH126" s="26" t="n">
        <v>6</v>
      </c>
      <c r="AI126" s="26" t="n">
        <v>6</v>
      </c>
      <c r="AJ126" s="26" t="n">
        <v>6</v>
      </c>
      <c r="AK126" s="26" t="n">
        <v>6</v>
      </c>
      <c r="AL126" s="26" t="n">
        <v>6</v>
      </c>
      <c r="AM126" s="26" t="n">
        <v>6</v>
      </c>
      <c r="AN126" s="26" t="n">
        <v>6</v>
      </c>
      <c r="AO126" s="26" t="n">
        <v>6</v>
      </c>
      <c r="AP126" s="26" t="n">
        <v>6</v>
      </c>
      <c r="AQ126" s="26" t="n">
        <v>6</v>
      </c>
      <c r="AR126" s="26" t="n">
        <v>6</v>
      </c>
      <c r="AS126" s="26" t="n">
        <v>6</v>
      </c>
      <c r="AT126" s="26" t="n">
        <v>6</v>
      </c>
      <c r="AU126" s="26" t="n">
        <v>6</v>
      </c>
      <c r="AV126" s="26" t="n">
        <v>6</v>
      </c>
      <c r="AW126" s="26" t="n">
        <v>6</v>
      </c>
      <c r="AX126" s="26" t="n">
        <v>6</v>
      </c>
      <c r="AY126" s="26" t="n">
        <v>6</v>
      </c>
      <c r="AZ126" s="26" t="n">
        <v>6</v>
      </c>
      <c r="BA126" s="26" t="n">
        <v>6</v>
      </c>
      <c r="BB126" s="26" t="n">
        <v>6</v>
      </c>
      <c r="BC126" s="26" t="n">
        <v>6</v>
      </c>
      <c r="BD126" s="26" t="n">
        <v>6</v>
      </c>
      <c r="BE126" s="26" t="n">
        <v>6</v>
      </c>
      <c r="BF126" s="26" t="n">
        <v>6</v>
      </c>
      <c r="BG126" s="26" t="n">
        <v>6</v>
      </c>
      <c r="BH126" s="26" t="n">
        <v>6</v>
      </c>
      <c r="BI126" s="26" t="n">
        <v>6</v>
      </c>
      <c r="BJ126" s="26" t="n">
        <v>6</v>
      </c>
      <c r="BK126" s="26" t="n">
        <v>6</v>
      </c>
      <c r="BL126" s="26" t="n">
        <v>0</v>
      </c>
      <c r="BM126" s="26" t="n">
        <v>0</v>
      </c>
    </row>
    <row r="127" ht="15.75" customHeight="1">
      <c r="A127" s="23" t="inlineStr">
        <is>
          <t>TA 5.5 – Revisando la coherencia entre el documento y el sistema construido</t>
        </is>
      </c>
      <c r="B127" s="24" t="inlineStr">
        <is>
          <t>Roberto Seguel</t>
        </is>
      </c>
      <c r="C127" s="40" t="inlineStr">
        <is>
          <t>Incremento 3</t>
        </is>
      </c>
      <c r="D127" s="26" t="n"/>
      <c r="E127" s="26" t="n">
        <v>4</v>
      </c>
      <c r="F127" s="26" t="n">
        <v>4</v>
      </c>
      <c r="G127" s="26" t="n">
        <v>4</v>
      </c>
      <c r="H127" s="26" t="n">
        <v>4</v>
      </c>
      <c r="I127" s="26" t="n">
        <v>4</v>
      </c>
      <c r="J127" s="26" t="n">
        <v>4</v>
      </c>
      <c r="K127" s="26" t="n">
        <v>4</v>
      </c>
      <c r="L127" s="26" t="n">
        <v>4</v>
      </c>
      <c r="M127" s="26" t="n">
        <v>4</v>
      </c>
      <c r="N127" s="26" t="n">
        <v>4</v>
      </c>
      <c r="O127" s="26" t="n">
        <v>4</v>
      </c>
      <c r="P127" s="26" t="n">
        <v>4</v>
      </c>
      <c r="Q127" s="26" t="n">
        <v>4</v>
      </c>
      <c r="R127" s="26" t="n">
        <v>4</v>
      </c>
      <c r="S127" s="26" t="n">
        <v>4</v>
      </c>
      <c r="T127" s="26" t="n">
        <v>4</v>
      </c>
      <c r="U127" s="26" t="n">
        <v>4</v>
      </c>
      <c r="V127" s="26" t="n">
        <v>4</v>
      </c>
      <c r="W127" s="26" t="n">
        <v>4</v>
      </c>
      <c r="X127" s="26" t="n">
        <v>4</v>
      </c>
      <c r="Y127" s="26" t="n">
        <v>4</v>
      </c>
      <c r="Z127" s="26" t="n">
        <v>4</v>
      </c>
      <c r="AA127" s="26" t="n">
        <v>4</v>
      </c>
      <c r="AB127" s="26" t="n">
        <v>4</v>
      </c>
      <c r="AC127" s="26" t="n">
        <v>4</v>
      </c>
      <c r="AD127" s="26" t="n">
        <v>4</v>
      </c>
      <c r="AE127" s="26" t="n">
        <v>4</v>
      </c>
      <c r="AF127" s="26" t="n">
        <v>4</v>
      </c>
      <c r="AG127" s="26" t="n">
        <v>4</v>
      </c>
      <c r="AH127" s="26" t="n">
        <v>4</v>
      </c>
      <c r="AI127" s="26" t="n">
        <v>4</v>
      </c>
      <c r="AJ127" s="26" t="n">
        <v>4</v>
      </c>
      <c r="AK127" s="26" t="n">
        <v>4</v>
      </c>
      <c r="AL127" s="26" t="n">
        <v>4</v>
      </c>
      <c r="AM127" s="26" t="n">
        <v>4</v>
      </c>
      <c r="AN127" s="26" t="n">
        <v>4</v>
      </c>
      <c r="AO127" s="26" t="n">
        <v>4</v>
      </c>
      <c r="AP127" s="26" t="n">
        <v>4</v>
      </c>
      <c r="AQ127" s="26" t="n">
        <v>4</v>
      </c>
      <c r="AR127" s="26" t="n">
        <v>4</v>
      </c>
      <c r="AS127" s="26" t="n">
        <v>4</v>
      </c>
      <c r="AT127" s="26" t="n">
        <v>4</v>
      </c>
      <c r="AU127" s="26" t="n">
        <v>4</v>
      </c>
      <c r="AV127" s="26" t="n">
        <v>4</v>
      </c>
      <c r="AW127" s="26" t="n">
        <v>4</v>
      </c>
      <c r="AX127" s="26" t="n">
        <v>4</v>
      </c>
      <c r="AY127" s="26" t="n">
        <v>4</v>
      </c>
      <c r="AZ127" s="26" t="n">
        <v>4</v>
      </c>
      <c r="BA127" s="26" t="n">
        <v>4</v>
      </c>
      <c r="BB127" s="26" t="n">
        <v>4</v>
      </c>
      <c r="BC127" s="26" t="n">
        <v>4</v>
      </c>
      <c r="BD127" s="26" t="n">
        <v>4</v>
      </c>
      <c r="BE127" s="26" t="n">
        <v>4</v>
      </c>
      <c r="BF127" s="26" t="n">
        <v>4</v>
      </c>
      <c r="BG127" s="26" t="n">
        <v>4</v>
      </c>
      <c r="BH127" s="26" t="n">
        <v>4</v>
      </c>
      <c r="BI127" s="26" t="n">
        <v>4</v>
      </c>
      <c r="BJ127" s="26" t="n">
        <v>4</v>
      </c>
      <c r="BK127" s="26" t="n">
        <v>4</v>
      </c>
      <c r="BL127" s="26" t="n">
        <v>4</v>
      </c>
      <c r="BM127" s="26" t="n">
        <v>0</v>
      </c>
    </row>
    <row r="128" ht="15.75" customHeight="1"/>
    <row r="129" ht="15.75" customHeight="1">
      <c r="A129" s="32" t="n"/>
      <c r="B129" s="29" t="n"/>
      <c r="C129" s="29" t="n"/>
      <c r="D129" s="33" t="n"/>
    </row>
    <row r="130" ht="15.75" customHeight="1"/>
    <row r="131" ht="15.75" customHeight="1">
      <c r="A131" s="30" t="inlineStr">
        <is>
          <t>Durante los días de los Sprint 1 y Sprint 2, las tareas del Sprint 3 figuran con la totalidad de sus horas pendientes, porque el alcance ya estaba planificado y aún no se había ejecutado.</t>
        </is>
      </c>
    </row>
    <row r="132" ht="15.75" customHeight="1"/>
    <row r="133" ht="15.75" customHeight="1">
      <c r="A133" s="30" t="inlineStr">
        <is>
          <t>Mapa de calor: gris = tarea terminada · verde = pocas horas pendientes · naranjo = muchas horas pendientes.</t>
        </is>
      </c>
    </row>
    <row r="134" ht="15.75" customHeight="1">
      <c r="A134" s="30" t="inlineStr">
        <is>
          <t>Durante los 21 días del Sprint 1 las tareas del Sprint 2 figuran con la totalidad de sus horas pendientes, porque el alcance ya estaba comprometido y aún no se ejecutaba.</t>
        </is>
      </c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0:BM10"/>
    <mergeCell ref="A40:BM40"/>
    <mergeCell ref="A94:BM94"/>
  </mergeCells>
  <conditionalFormatting sqref="E11:BM92">
    <cfRule type="cellIs" priority="4" operator="equal" dxfId="2">
      <formula>0</formula>
    </cfRule>
    <cfRule type="cellIs" priority="5" operator="between" dxfId="1">
      <formula>1</formula>
      <formula>5</formula>
    </cfRule>
    <cfRule type="cellIs" priority="6" operator="greaterThan" dxfId="0">
      <formula>5</formula>
    </cfRule>
  </conditionalFormatting>
  <conditionalFormatting sqref="E95:BM127">
    <cfRule type="cellIs" priority="7" operator="equal" dxfId="2">
      <formula>0</formula>
    </cfRule>
    <cfRule type="cellIs" priority="8" operator="between" dxfId="1">
      <formula>1</formula>
      <formula>5</formula>
    </cfRule>
    <cfRule type="cellIs" priority="9" operator="greaterThan" dxfId="0">
      <formula>5</formula>
    </cfRule>
  </conditionalFormatting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xSplit="3" ySplit="4" topLeftCell="D40" activePane="bottomRight" state="frozen"/>
      <selection pane="topRight" activeCell="D1" sqref="D1"/>
      <selection pane="bottomLeft" activeCell="A5" sqref="A5"/>
      <selection pane="bottomRight" activeCell="K43" sqref="K43"/>
    </sheetView>
  </sheetViews>
  <sheetFormatPr baseColWidth="8" defaultColWidth="14.453125" defaultRowHeight="15" customHeight="1"/>
  <cols>
    <col width="7" customWidth="1" min="1" max="1"/>
    <col width="10" customWidth="1" min="2" max="2"/>
    <col width="11" customWidth="1" min="3" max="3"/>
    <col width="17" customWidth="1" min="4" max="4"/>
    <col width="20" customWidth="1" min="5" max="5"/>
    <col width="17" customWidth="1" min="6" max="6"/>
    <col width="20" customWidth="1" min="7" max="8"/>
    <col width="8.7265625" customWidth="1" min="9" max="26"/>
  </cols>
  <sheetData>
    <row r="1" ht="15.5" customHeight="1">
      <c r="A1" s="1" t="inlineStr">
        <is>
          <t>Gráficas de seguimiento acumuladas — Incrementos 1, 2 y 3</t>
        </is>
      </c>
    </row>
    <row r="2" ht="14.5" customHeight="1">
      <c r="A2" s="2" t="inlineStr">
        <is>
          <t>61 días de sprint: 21 del Sprint 1, 21 del Sprint 2 y 19 del Sprint 3. El esfuerzo pendiente parte del total de los tres incrementos y no se reinicia al cambiar de sprint. La línea planificada se calcula por tramo con las horas estimadas de cada incremento, y la real con las horas efectivas.</t>
        </is>
      </c>
    </row>
    <row r="3" ht="14.5" customHeight="1"/>
    <row r="4" ht="23" customHeight="1">
      <c r="A4" s="5" t="inlineStr">
        <is>
          <t>Día</t>
        </is>
      </c>
      <c r="B4" s="5" t="inlineStr">
        <is>
          <t>Fecha</t>
        </is>
      </c>
      <c r="C4" s="5" t="inlineStr">
        <is>
          <t>Sprint</t>
        </is>
      </c>
      <c r="D4" s="5" t="inlineStr">
        <is>
          <t>Pendiente real (HH)</t>
        </is>
      </c>
      <c r="E4" s="5" t="inlineStr">
        <is>
          <t>Pendiente planificado (HH)</t>
        </is>
      </c>
      <c r="F4" s="5" t="inlineStr">
        <is>
          <t>Acumulado real (HH)</t>
        </is>
      </c>
      <c r="G4" s="5" t="inlineStr">
        <is>
          <t>Acumulado planificado (HH)</t>
        </is>
      </c>
      <c r="H4" s="5" t="inlineStr">
        <is>
          <t>Alcance comprometido (HH)</t>
        </is>
      </c>
    </row>
    <row r="5" ht="14.5" customHeight="1">
      <c r="A5" s="14" t="n">
        <v>0</v>
      </c>
      <c r="B5" s="14" t="inlineStr">
        <is>
          <t>Inicio</t>
        </is>
      </c>
      <c r="C5" s="14" t="inlineStr">
        <is>
          <t>Sprint 1</t>
        </is>
      </c>
      <c r="D5" s="51">
        <f>'Tabla de Esfuerzo'!$D$93+'Tabla de Esfuerzo'!$E$9</f>
        <v/>
      </c>
      <c r="E5" s="51">
        <f>Planificación!$E$133</f>
        <v/>
      </c>
      <c r="F5" s="51">
        <f>$D$5-D5</f>
        <v/>
      </c>
      <c r="G5" s="51">
        <f>Planificación!$E$133-E5</f>
        <v/>
      </c>
      <c r="H5" s="14">
        <f>Planificación!$H$40</f>
        <v/>
      </c>
    </row>
    <row r="6" ht="14.5" customHeight="1">
      <c r="A6" s="14" t="n">
        <v>1</v>
      </c>
      <c r="B6" s="14" t="inlineStr">
        <is>
          <t>27-07</t>
        </is>
      </c>
      <c r="C6" s="14" t="inlineStr">
        <is>
          <t>Sprint 1</t>
        </is>
      </c>
      <c r="D6" s="51">
        <f>'Tabla de Esfuerzo'!E6</f>
        <v/>
      </c>
      <c r="E6" s="51">
        <f>ROUND(Planificación!$E$133-Planificación!$E$40*A6/21,0)</f>
        <v/>
      </c>
      <c r="F6" s="51">
        <f>$D$5-D6</f>
        <v/>
      </c>
      <c r="G6" s="51">
        <f>Planificación!$E$133-E6</f>
        <v/>
      </c>
      <c r="H6" s="14">
        <f>Planificación!$H$40</f>
        <v/>
      </c>
    </row>
    <row r="7" ht="14.5" customHeight="1">
      <c r="A7" s="14" t="n">
        <v>2</v>
      </c>
      <c r="B7" s="14" t="inlineStr">
        <is>
          <t>28-07</t>
        </is>
      </c>
      <c r="C7" s="14" t="inlineStr">
        <is>
          <t>Sprint 1</t>
        </is>
      </c>
      <c r="D7" s="51">
        <f>'Tabla de Esfuerzo'!F6</f>
        <v/>
      </c>
      <c r="E7" s="51">
        <f>ROUND(Planificación!$E$133-Planificación!$E$40*A7/21,0)</f>
        <v/>
      </c>
      <c r="F7" s="51">
        <f>$D$5-D7</f>
        <v/>
      </c>
      <c r="G7" s="51">
        <f>Planificación!$E$133-E7</f>
        <v/>
      </c>
      <c r="H7" s="14">
        <f>Planificación!$H$40</f>
        <v/>
      </c>
    </row>
    <row r="8" ht="14.5" customHeight="1">
      <c r="A8" s="14" t="n">
        <v>3</v>
      </c>
      <c r="B8" s="14" t="inlineStr">
        <is>
          <t>29-07</t>
        </is>
      </c>
      <c r="C8" s="14" t="inlineStr">
        <is>
          <t>Sprint 1</t>
        </is>
      </c>
      <c r="D8" s="51">
        <f>'Tabla de Esfuerzo'!G6</f>
        <v/>
      </c>
      <c r="E8" s="51">
        <f>ROUND(Planificación!$E$133-Planificación!$E$40*A8/21,0)</f>
        <v/>
      </c>
      <c r="F8" s="51">
        <f>$D$5-D8</f>
        <v/>
      </c>
      <c r="G8" s="51">
        <f>Planificación!$E$133-E8</f>
        <v/>
      </c>
      <c r="H8" s="14">
        <f>Planificación!$H$40</f>
        <v/>
      </c>
    </row>
    <row r="9" ht="14.5" customHeight="1">
      <c r="A9" s="14" t="n">
        <v>4</v>
      </c>
      <c r="B9" s="14" t="inlineStr">
        <is>
          <t>30-07</t>
        </is>
      </c>
      <c r="C9" s="14" t="inlineStr">
        <is>
          <t>Sprint 1</t>
        </is>
      </c>
      <c r="D9" s="51">
        <f>'Tabla de Esfuerzo'!H6</f>
        <v/>
      </c>
      <c r="E9" s="51">
        <f>ROUND(Planificación!$E$133-Planificación!$E$40*A9/21,0)</f>
        <v/>
      </c>
      <c r="F9" s="51">
        <f>$D$5-D9</f>
        <v/>
      </c>
      <c r="G9" s="51">
        <f>Planificación!$E$133-E9</f>
        <v/>
      </c>
      <c r="H9" s="14">
        <f>Planificación!$H$40</f>
        <v/>
      </c>
    </row>
    <row r="10" ht="14.5" customHeight="1">
      <c r="A10" s="14" t="n">
        <v>5</v>
      </c>
      <c r="B10" s="14" t="inlineStr">
        <is>
          <t>31-07</t>
        </is>
      </c>
      <c r="C10" s="14" t="inlineStr">
        <is>
          <t>Sprint 1</t>
        </is>
      </c>
      <c r="D10" s="51">
        <f>'Tabla de Esfuerzo'!I6</f>
        <v/>
      </c>
      <c r="E10" s="51">
        <f>ROUND(Planificación!$E$133-Planificación!$E$40*A10/21,0)</f>
        <v/>
      </c>
      <c r="F10" s="51">
        <f>$D$5-D10</f>
        <v/>
      </c>
      <c r="G10" s="51">
        <f>Planificación!$E$133-E10</f>
        <v/>
      </c>
      <c r="H10" s="14">
        <f>Planificación!$H$40</f>
        <v/>
      </c>
    </row>
    <row r="11" ht="14.5" customHeight="1">
      <c r="A11" s="14" t="n">
        <v>6</v>
      </c>
      <c r="B11" s="14" t="inlineStr">
        <is>
          <t>01-08</t>
        </is>
      </c>
      <c r="C11" s="14" t="inlineStr">
        <is>
          <t>Sprint 1</t>
        </is>
      </c>
      <c r="D11" s="51">
        <f>'Tabla de Esfuerzo'!J6</f>
        <v/>
      </c>
      <c r="E11" s="51">
        <f>ROUND(Planificación!$E$133-Planificación!$E$40*A11/21,0)</f>
        <v/>
      </c>
      <c r="F11" s="51">
        <f>$D$5-D11</f>
        <v/>
      </c>
      <c r="G11" s="51">
        <f>Planificación!$E$133-E11</f>
        <v/>
      </c>
      <c r="H11" s="14">
        <f>Planificación!$H$40</f>
        <v/>
      </c>
    </row>
    <row r="12" ht="14.5" customHeight="1">
      <c r="A12" s="14" t="n">
        <v>7</v>
      </c>
      <c r="B12" s="14" t="inlineStr">
        <is>
          <t>02-08</t>
        </is>
      </c>
      <c r="C12" s="14" t="inlineStr">
        <is>
          <t>Sprint 1</t>
        </is>
      </c>
      <c r="D12" s="51">
        <f>'Tabla de Esfuerzo'!K6</f>
        <v/>
      </c>
      <c r="E12" s="51">
        <f>ROUND(Planificación!$E$133-Planificación!$E$40*A12/21,0)</f>
        <v/>
      </c>
      <c r="F12" s="51">
        <f>$D$5-D12</f>
        <v/>
      </c>
      <c r="G12" s="51">
        <f>Planificación!$E$133-E12</f>
        <v/>
      </c>
      <c r="H12" s="14">
        <f>Planificación!$H$40</f>
        <v/>
      </c>
    </row>
    <row r="13" ht="14.5" customHeight="1">
      <c r="A13" s="14" t="n">
        <v>8</v>
      </c>
      <c r="B13" s="14" t="inlineStr">
        <is>
          <t>03-08</t>
        </is>
      </c>
      <c r="C13" s="14" t="inlineStr">
        <is>
          <t>Sprint 1</t>
        </is>
      </c>
      <c r="D13" s="51">
        <f>'Tabla de Esfuerzo'!L6</f>
        <v/>
      </c>
      <c r="E13" s="51">
        <f>ROUND(Planificación!$E$133-Planificación!$E$40*A13/21,0)</f>
        <v/>
      </c>
      <c r="F13" s="51">
        <f>$D$5-D13</f>
        <v/>
      </c>
      <c r="G13" s="51">
        <f>Planificación!$E$133-E13</f>
        <v/>
      </c>
      <c r="H13" s="14">
        <f>Planificación!$H$40</f>
        <v/>
      </c>
    </row>
    <row r="14" ht="14.5" customHeight="1">
      <c r="A14" s="14" t="n">
        <v>9</v>
      </c>
      <c r="B14" s="14" t="inlineStr">
        <is>
          <t>04-08</t>
        </is>
      </c>
      <c r="C14" s="14" t="inlineStr">
        <is>
          <t>Sprint 1</t>
        </is>
      </c>
      <c r="D14" s="51">
        <f>'Tabla de Esfuerzo'!M6</f>
        <v/>
      </c>
      <c r="E14" s="51">
        <f>ROUND(Planificación!$E$133-Planificación!$E$40*A14/21,0)</f>
        <v/>
      </c>
      <c r="F14" s="51">
        <f>$D$5-D14</f>
        <v/>
      </c>
      <c r="G14" s="51">
        <f>Planificación!$E$133-E14</f>
        <v/>
      </c>
      <c r="H14" s="14">
        <f>Planificación!$H$40</f>
        <v/>
      </c>
    </row>
    <row r="15" ht="14.5" customHeight="1">
      <c r="A15" s="14" t="n">
        <v>10</v>
      </c>
      <c r="B15" s="14" t="inlineStr">
        <is>
          <t>05-08</t>
        </is>
      </c>
      <c r="C15" s="14" t="inlineStr">
        <is>
          <t>Sprint 1</t>
        </is>
      </c>
      <c r="D15" s="51">
        <f>'Tabla de Esfuerzo'!N6</f>
        <v/>
      </c>
      <c r="E15" s="51">
        <f>ROUND(Planificación!$E$133-Planificación!$E$40*A15/21,0)</f>
        <v/>
      </c>
      <c r="F15" s="51">
        <f>$D$5-D15</f>
        <v/>
      </c>
      <c r="G15" s="51">
        <f>Planificación!$E$133-E15</f>
        <v/>
      </c>
      <c r="H15" s="14">
        <f>Planificación!$H$40</f>
        <v/>
      </c>
    </row>
    <row r="16" ht="14.5" customHeight="1">
      <c r="A16" s="14" t="n">
        <v>11</v>
      </c>
      <c r="B16" s="14" t="inlineStr">
        <is>
          <t>06-08</t>
        </is>
      </c>
      <c r="C16" s="14" t="inlineStr">
        <is>
          <t>Sprint 1</t>
        </is>
      </c>
      <c r="D16" s="51">
        <f>'Tabla de Esfuerzo'!O6</f>
        <v/>
      </c>
      <c r="E16" s="51">
        <f>ROUND(Planificación!$E$133-Planificación!$E$40*A16/21,0)</f>
        <v/>
      </c>
      <c r="F16" s="51">
        <f>$D$5-D16</f>
        <v/>
      </c>
      <c r="G16" s="51">
        <f>Planificación!$E$133-E16</f>
        <v/>
      </c>
      <c r="H16" s="14">
        <f>Planificación!$H$40</f>
        <v/>
      </c>
    </row>
    <row r="17" ht="14.5" customHeight="1">
      <c r="A17" s="14" t="n">
        <v>12</v>
      </c>
      <c r="B17" s="14" t="inlineStr">
        <is>
          <t>07-08</t>
        </is>
      </c>
      <c r="C17" s="14" t="inlineStr">
        <is>
          <t>Sprint 1</t>
        </is>
      </c>
      <c r="D17" s="51">
        <f>'Tabla de Esfuerzo'!P6</f>
        <v/>
      </c>
      <c r="E17" s="51">
        <f>ROUND(Planificación!$E$133-Planificación!$E$40*A17/21,0)</f>
        <v/>
      </c>
      <c r="F17" s="51">
        <f>$D$5-D17</f>
        <v/>
      </c>
      <c r="G17" s="51">
        <f>Planificación!$E$133-E17</f>
        <v/>
      </c>
      <c r="H17" s="14">
        <f>Planificación!$H$40</f>
        <v/>
      </c>
    </row>
    <row r="18" ht="14.5" customHeight="1">
      <c r="A18" s="14" t="n">
        <v>13</v>
      </c>
      <c r="B18" s="14" t="inlineStr">
        <is>
          <t>08-08</t>
        </is>
      </c>
      <c r="C18" s="14" t="inlineStr">
        <is>
          <t>Sprint 1</t>
        </is>
      </c>
      <c r="D18" s="51">
        <f>'Tabla de Esfuerzo'!Q6</f>
        <v/>
      </c>
      <c r="E18" s="51">
        <f>ROUND(Planificación!$E$133-Planificación!$E$40*A18/21,0)</f>
        <v/>
      </c>
      <c r="F18" s="51">
        <f>$D$5-D18</f>
        <v/>
      </c>
      <c r="G18" s="51">
        <f>Planificación!$E$133-E18</f>
        <v/>
      </c>
      <c r="H18" s="14">
        <f>Planificación!$H$40</f>
        <v/>
      </c>
    </row>
    <row r="19" ht="14.5" customHeight="1">
      <c r="A19" s="14" t="n">
        <v>14</v>
      </c>
      <c r="B19" s="14" t="inlineStr">
        <is>
          <t>09-08</t>
        </is>
      </c>
      <c r="C19" s="14" t="inlineStr">
        <is>
          <t>Sprint 1</t>
        </is>
      </c>
      <c r="D19" s="51">
        <f>'Tabla de Esfuerzo'!R6</f>
        <v/>
      </c>
      <c r="E19" s="51">
        <f>ROUND(Planificación!$E$133-Planificación!$E$40*A19/21,0)</f>
        <v/>
      </c>
      <c r="F19" s="51">
        <f>$D$5-D19</f>
        <v/>
      </c>
      <c r="G19" s="51">
        <f>Planificación!$E$133-E19</f>
        <v/>
      </c>
      <c r="H19" s="14">
        <f>Planificación!$H$40</f>
        <v/>
      </c>
    </row>
    <row r="20" ht="14.5" customHeight="1">
      <c r="A20" s="14" t="n">
        <v>15</v>
      </c>
      <c r="B20" s="14" t="inlineStr">
        <is>
          <t>10-08</t>
        </is>
      </c>
      <c r="C20" s="14" t="inlineStr">
        <is>
          <t>Sprint 1</t>
        </is>
      </c>
      <c r="D20" s="51">
        <f>'Tabla de Esfuerzo'!S6</f>
        <v/>
      </c>
      <c r="E20" s="51">
        <f>ROUND(Planificación!$E$133-Planificación!$E$40*A20/21,0)</f>
        <v/>
      </c>
      <c r="F20" s="51">
        <f>$D$5-D20</f>
        <v/>
      </c>
      <c r="G20" s="51">
        <f>Planificación!$E$133-E20</f>
        <v/>
      </c>
      <c r="H20" s="14">
        <f>Planificación!$H$40</f>
        <v/>
      </c>
    </row>
    <row r="21" ht="15.75" customHeight="1">
      <c r="A21" s="14" t="n">
        <v>16</v>
      </c>
      <c r="B21" s="14" t="inlineStr">
        <is>
          <t>11-08</t>
        </is>
      </c>
      <c r="C21" s="14" t="inlineStr">
        <is>
          <t>Sprint 1</t>
        </is>
      </c>
      <c r="D21" s="51">
        <f>'Tabla de Esfuerzo'!T6</f>
        <v/>
      </c>
      <c r="E21" s="51">
        <f>ROUND(Planificación!$E$133-Planificación!$E$40*A21/21,0)</f>
        <v/>
      </c>
      <c r="F21" s="51">
        <f>$D$5-D21</f>
        <v/>
      </c>
      <c r="G21" s="51">
        <f>Planificación!$E$133-E21</f>
        <v/>
      </c>
      <c r="H21" s="14">
        <f>Planificación!$H$40</f>
        <v/>
      </c>
    </row>
    <row r="22" ht="15.75" customHeight="1">
      <c r="A22" s="14" t="n">
        <v>17</v>
      </c>
      <c r="B22" s="14" t="inlineStr">
        <is>
          <t>12-08</t>
        </is>
      </c>
      <c r="C22" s="14" t="inlineStr">
        <is>
          <t>Sprint 1</t>
        </is>
      </c>
      <c r="D22" s="51">
        <f>'Tabla de Esfuerzo'!U6</f>
        <v/>
      </c>
      <c r="E22" s="51">
        <f>ROUND(Planificación!$E$133-Planificación!$E$40*A22/21,0)</f>
        <v/>
      </c>
      <c r="F22" s="51">
        <f>$D$5-D22</f>
        <v/>
      </c>
      <c r="G22" s="51">
        <f>Planificación!$E$133-E22</f>
        <v/>
      </c>
      <c r="H22" s="14">
        <f>Planificación!$H$40</f>
        <v/>
      </c>
    </row>
    <row r="23" ht="15.75" customHeight="1">
      <c r="A23" s="14" t="n">
        <v>18</v>
      </c>
      <c r="B23" s="14" t="inlineStr">
        <is>
          <t>13-08</t>
        </is>
      </c>
      <c r="C23" s="14" t="inlineStr">
        <is>
          <t>Sprint 1</t>
        </is>
      </c>
      <c r="D23" s="51">
        <f>'Tabla de Esfuerzo'!V6</f>
        <v/>
      </c>
      <c r="E23" s="51">
        <f>ROUND(Planificación!$E$133-Planificación!$E$40*A23/21,0)</f>
        <v/>
      </c>
      <c r="F23" s="51">
        <f>$D$5-D23</f>
        <v/>
      </c>
      <c r="G23" s="51">
        <f>Planificación!$E$133-E23</f>
        <v/>
      </c>
      <c r="H23" s="14">
        <f>Planificación!$H$40</f>
        <v/>
      </c>
    </row>
    <row r="24" ht="15.75" customHeight="1">
      <c r="A24" s="14" t="n">
        <v>19</v>
      </c>
      <c r="B24" s="14" t="inlineStr">
        <is>
          <t>14-08</t>
        </is>
      </c>
      <c r="C24" s="14" t="inlineStr">
        <is>
          <t>Sprint 1</t>
        </is>
      </c>
      <c r="D24" s="51">
        <f>'Tabla de Esfuerzo'!W6</f>
        <v/>
      </c>
      <c r="E24" s="51">
        <f>ROUND(Planificación!$E$133-Planificación!$E$40*A24/21,0)</f>
        <v/>
      </c>
      <c r="F24" s="51">
        <f>$D$5-D24</f>
        <v/>
      </c>
      <c r="G24" s="51">
        <f>Planificación!$E$133-E24</f>
        <v/>
      </c>
      <c r="H24" s="14">
        <f>Planificación!$H$40</f>
        <v/>
      </c>
    </row>
    <row r="25" ht="15.75" customHeight="1">
      <c r="A25" s="14" t="n">
        <v>20</v>
      </c>
      <c r="B25" s="14" t="inlineStr">
        <is>
          <t>15-08</t>
        </is>
      </c>
      <c r="C25" s="14" t="inlineStr">
        <is>
          <t>Sprint 1</t>
        </is>
      </c>
      <c r="D25" s="51">
        <f>'Tabla de Esfuerzo'!X6</f>
        <v/>
      </c>
      <c r="E25" s="51">
        <f>ROUND(Planificación!$E$133-Planificación!$E$40*A25/21,0)</f>
        <v/>
      </c>
      <c r="F25" s="51">
        <f>$D$5-D25</f>
        <v/>
      </c>
      <c r="G25" s="51">
        <f>Planificación!$E$133-E25</f>
        <v/>
      </c>
      <c r="H25" s="14">
        <f>Planificación!$H$40</f>
        <v/>
      </c>
    </row>
    <row r="26" ht="15.75" customHeight="1">
      <c r="A26" s="14" t="n">
        <v>21</v>
      </c>
      <c r="B26" s="14" t="inlineStr">
        <is>
          <t>16-08</t>
        </is>
      </c>
      <c r="C26" s="14" t="inlineStr">
        <is>
          <t>Sprint 1</t>
        </is>
      </c>
      <c r="D26" s="51">
        <f>'Tabla de Esfuerzo'!Y6</f>
        <v/>
      </c>
      <c r="E26" s="51">
        <f>ROUND(Planificación!$E$133-Planificación!$E$40*A26/21,0)</f>
        <v/>
      </c>
      <c r="F26" s="51">
        <f>$D$5-D26</f>
        <v/>
      </c>
      <c r="G26" s="51">
        <f>Planificación!$E$133-E26</f>
        <v/>
      </c>
      <c r="H26" s="14">
        <f>Planificación!$H$40</f>
        <v/>
      </c>
    </row>
    <row r="27" ht="15.75" customHeight="1">
      <c r="A27" s="27" t="n">
        <v>22</v>
      </c>
      <c r="B27" s="27" t="inlineStr">
        <is>
          <t>24-08</t>
        </is>
      </c>
      <c r="C27" s="27" t="inlineStr">
        <is>
          <t>Sprint 2</t>
        </is>
      </c>
      <c r="D27" s="52">
        <f>'Tabla de Esfuerzo'!Z6</f>
        <v/>
      </c>
      <c r="E27" s="52">
        <f>ROUND(Planificación!$E$133-Planificación!$E$40-Planificación!$E$95*(A27-21)/21,0)</f>
        <v/>
      </c>
      <c r="F27" s="52">
        <f>$D$5-D27</f>
        <v/>
      </c>
      <c r="G27" s="52">
        <f>Planificación!$E$133-E27</f>
        <v/>
      </c>
      <c r="H27" s="27">
        <f>'Tabla de Esfuerzo'!$D$93</f>
        <v/>
      </c>
    </row>
    <row r="28" ht="15.75" customHeight="1">
      <c r="A28" s="27" t="n">
        <v>23</v>
      </c>
      <c r="B28" s="27" t="inlineStr">
        <is>
          <t>25-08</t>
        </is>
      </c>
      <c r="C28" s="27" t="inlineStr">
        <is>
          <t>Sprint 2</t>
        </is>
      </c>
      <c r="D28" s="52">
        <f>'Tabla de Esfuerzo'!AA6</f>
        <v/>
      </c>
      <c r="E28" s="52">
        <f>ROUND(Planificación!$E$133-Planificación!$E$40-Planificación!$E$95*(A28-21)/21,0)</f>
        <v/>
      </c>
      <c r="F28" s="52">
        <f>$D$5-D28</f>
        <v/>
      </c>
      <c r="G28" s="52">
        <f>Planificación!$E$133-E28</f>
        <v/>
      </c>
      <c r="H28" s="27">
        <f>'Tabla de Esfuerzo'!$D$93</f>
        <v/>
      </c>
    </row>
    <row r="29" ht="15.75" customHeight="1">
      <c r="A29" s="27" t="n">
        <v>24</v>
      </c>
      <c r="B29" s="27" t="inlineStr">
        <is>
          <t>26-08</t>
        </is>
      </c>
      <c r="C29" s="27" t="inlineStr">
        <is>
          <t>Sprint 2</t>
        </is>
      </c>
      <c r="D29" s="52">
        <f>'Tabla de Esfuerzo'!AB6</f>
        <v/>
      </c>
      <c r="E29" s="52">
        <f>ROUND(Planificación!$E$133-Planificación!$E$40-Planificación!$E$95*(A29-21)/21,0)</f>
        <v/>
      </c>
      <c r="F29" s="52">
        <f>$D$5-D29</f>
        <v/>
      </c>
      <c r="G29" s="52">
        <f>Planificación!$E$133-E29</f>
        <v/>
      </c>
      <c r="H29" s="27">
        <f>'Tabla de Esfuerzo'!$D$93</f>
        <v/>
      </c>
    </row>
    <row r="30" ht="15.75" customHeight="1">
      <c r="A30" s="27" t="n">
        <v>25</v>
      </c>
      <c r="B30" s="27" t="inlineStr">
        <is>
          <t>27-08</t>
        </is>
      </c>
      <c r="C30" s="27" t="inlineStr">
        <is>
          <t>Sprint 2</t>
        </is>
      </c>
      <c r="D30" s="52">
        <f>'Tabla de Esfuerzo'!AC6</f>
        <v/>
      </c>
      <c r="E30" s="52">
        <f>ROUND(Planificación!$E$133-Planificación!$E$40-Planificación!$E$95*(A30-21)/21,0)</f>
        <v/>
      </c>
      <c r="F30" s="52">
        <f>$D$5-D30</f>
        <v/>
      </c>
      <c r="G30" s="52">
        <f>Planificación!$E$133-E30</f>
        <v/>
      </c>
      <c r="H30" s="27">
        <f>'Tabla de Esfuerzo'!$D$93</f>
        <v/>
      </c>
    </row>
    <row r="31" ht="15.75" customHeight="1">
      <c r="A31" s="27" t="n">
        <v>26</v>
      </c>
      <c r="B31" s="27" t="inlineStr">
        <is>
          <t>28-08</t>
        </is>
      </c>
      <c r="C31" s="27" t="inlineStr">
        <is>
          <t>Sprint 2</t>
        </is>
      </c>
      <c r="D31" s="52">
        <f>'Tabla de Esfuerzo'!AD6</f>
        <v/>
      </c>
      <c r="E31" s="52">
        <f>ROUND(Planificación!$E$133-Planificación!$E$40-Planificación!$E$95*(A31-21)/21,0)</f>
        <v/>
      </c>
      <c r="F31" s="52">
        <f>$D$5-D31</f>
        <v/>
      </c>
      <c r="G31" s="52">
        <f>Planificación!$E$133-E31</f>
        <v/>
      </c>
      <c r="H31" s="27">
        <f>'Tabla de Esfuerzo'!$D$93</f>
        <v/>
      </c>
    </row>
    <row r="32" ht="15.75" customHeight="1">
      <c r="A32" s="27" t="n">
        <v>27</v>
      </c>
      <c r="B32" s="27" t="inlineStr">
        <is>
          <t>29-08</t>
        </is>
      </c>
      <c r="C32" s="27" t="inlineStr">
        <is>
          <t>Sprint 2</t>
        </is>
      </c>
      <c r="D32" s="52">
        <f>'Tabla de Esfuerzo'!AE6</f>
        <v/>
      </c>
      <c r="E32" s="52">
        <f>ROUND(Planificación!$E$133-Planificación!$E$40-Planificación!$E$95*(A32-21)/21,0)</f>
        <v/>
      </c>
      <c r="F32" s="52">
        <f>$D$5-D32</f>
        <v/>
      </c>
      <c r="G32" s="52">
        <f>Planificación!$E$133-E32</f>
        <v/>
      </c>
      <c r="H32" s="27">
        <f>'Tabla de Esfuerzo'!$D$93</f>
        <v/>
      </c>
    </row>
    <row r="33" ht="15.75" customHeight="1">
      <c r="A33" s="27" t="n">
        <v>28</v>
      </c>
      <c r="B33" s="27" t="inlineStr">
        <is>
          <t>30-08</t>
        </is>
      </c>
      <c r="C33" s="27" t="inlineStr">
        <is>
          <t>Sprint 2</t>
        </is>
      </c>
      <c r="D33" s="52">
        <f>'Tabla de Esfuerzo'!AF6</f>
        <v/>
      </c>
      <c r="E33" s="52">
        <f>ROUND(Planificación!$E$133-Planificación!$E$40-Planificación!$E$95*(A33-21)/21,0)</f>
        <v/>
      </c>
      <c r="F33" s="52">
        <f>$D$5-D33</f>
        <v/>
      </c>
      <c r="G33" s="52">
        <f>Planificación!$E$133-E33</f>
        <v/>
      </c>
      <c r="H33" s="27">
        <f>'Tabla de Esfuerzo'!$D$93</f>
        <v/>
      </c>
    </row>
    <row r="34" ht="15.75" customHeight="1">
      <c r="A34" s="27" t="n">
        <v>29</v>
      </c>
      <c r="B34" s="27" t="inlineStr">
        <is>
          <t>31-08</t>
        </is>
      </c>
      <c r="C34" s="27" t="inlineStr">
        <is>
          <t>Sprint 2</t>
        </is>
      </c>
      <c r="D34" s="52">
        <f>'Tabla de Esfuerzo'!AG6</f>
        <v/>
      </c>
      <c r="E34" s="52">
        <f>ROUND(Planificación!$E$133-Planificación!$E$40-Planificación!$E$95*(A34-21)/21,0)</f>
        <v/>
      </c>
      <c r="F34" s="52">
        <f>$D$5-D34</f>
        <v/>
      </c>
      <c r="G34" s="52">
        <f>Planificación!$E$133-E34</f>
        <v/>
      </c>
      <c r="H34" s="27">
        <f>'Tabla de Esfuerzo'!$D$93</f>
        <v/>
      </c>
    </row>
    <row r="35" ht="15.75" customHeight="1">
      <c r="A35" s="27" t="n">
        <v>30</v>
      </c>
      <c r="B35" s="27" t="inlineStr">
        <is>
          <t>01-09</t>
        </is>
      </c>
      <c r="C35" s="27" t="inlineStr">
        <is>
          <t>Sprint 2</t>
        </is>
      </c>
      <c r="D35" s="52">
        <f>'Tabla de Esfuerzo'!AH6</f>
        <v/>
      </c>
      <c r="E35" s="52">
        <f>ROUND(Planificación!$E$133-Planificación!$E$40-Planificación!$E$95*(A35-21)/21,0)</f>
        <v/>
      </c>
      <c r="F35" s="52">
        <f>$D$5-D35</f>
        <v/>
      </c>
      <c r="G35" s="52">
        <f>Planificación!$E$133-E35</f>
        <v/>
      </c>
      <c r="H35" s="27">
        <f>'Tabla de Esfuerzo'!$D$93</f>
        <v/>
      </c>
    </row>
    <row r="36" ht="15.75" customHeight="1">
      <c r="A36" s="27" t="n">
        <v>31</v>
      </c>
      <c r="B36" s="27" t="inlineStr">
        <is>
          <t>02-09</t>
        </is>
      </c>
      <c r="C36" s="27" t="inlineStr">
        <is>
          <t>Sprint 2</t>
        </is>
      </c>
      <c r="D36" s="52">
        <f>'Tabla de Esfuerzo'!AI6</f>
        <v/>
      </c>
      <c r="E36" s="52">
        <f>ROUND(Planificación!$E$133-Planificación!$E$40-Planificación!$E$95*(A36-21)/21,0)</f>
        <v/>
      </c>
      <c r="F36" s="52">
        <f>$D$5-D36</f>
        <v/>
      </c>
      <c r="G36" s="52">
        <f>Planificación!$E$133-E36</f>
        <v/>
      </c>
      <c r="H36" s="27">
        <f>'Tabla de Esfuerzo'!$D$93</f>
        <v/>
      </c>
    </row>
    <row r="37" ht="15.75" customHeight="1">
      <c r="A37" s="27" t="n">
        <v>32</v>
      </c>
      <c r="B37" s="27" t="inlineStr">
        <is>
          <t>03-09</t>
        </is>
      </c>
      <c r="C37" s="27" t="inlineStr">
        <is>
          <t>Sprint 2</t>
        </is>
      </c>
      <c r="D37" s="52">
        <f>'Tabla de Esfuerzo'!AJ6</f>
        <v/>
      </c>
      <c r="E37" s="52">
        <f>ROUND(Planificación!$E$133-Planificación!$E$40-Planificación!$E$95*(A37-21)/21,0)</f>
        <v/>
      </c>
      <c r="F37" s="52">
        <f>$D$5-D37</f>
        <v/>
      </c>
      <c r="G37" s="52">
        <f>Planificación!$E$133-E37</f>
        <v/>
      </c>
      <c r="H37" s="27">
        <f>'Tabla de Esfuerzo'!$D$93</f>
        <v/>
      </c>
    </row>
    <row r="38" ht="15.75" customHeight="1">
      <c r="A38" s="27" t="n">
        <v>33</v>
      </c>
      <c r="B38" s="27" t="inlineStr">
        <is>
          <t>04-09</t>
        </is>
      </c>
      <c r="C38" s="27" t="inlineStr">
        <is>
          <t>Sprint 2</t>
        </is>
      </c>
      <c r="D38" s="52">
        <f>'Tabla de Esfuerzo'!AK6</f>
        <v/>
      </c>
      <c r="E38" s="52">
        <f>ROUND(Planificación!$E$133-Planificación!$E$40-Planificación!$E$95*(A38-21)/21,0)</f>
        <v/>
      </c>
      <c r="F38" s="52">
        <f>$D$5-D38</f>
        <v/>
      </c>
      <c r="G38" s="52">
        <f>Planificación!$E$133-E38</f>
        <v/>
      </c>
      <c r="H38" s="27">
        <f>'Tabla de Esfuerzo'!$D$93</f>
        <v/>
      </c>
    </row>
    <row r="39" ht="15.75" customHeight="1">
      <c r="A39" s="27" t="n">
        <v>34</v>
      </c>
      <c r="B39" s="27" t="inlineStr">
        <is>
          <t>05-09</t>
        </is>
      </c>
      <c r="C39" s="27" t="inlineStr">
        <is>
          <t>Sprint 2</t>
        </is>
      </c>
      <c r="D39" s="52">
        <f>'Tabla de Esfuerzo'!AL6</f>
        <v/>
      </c>
      <c r="E39" s="52">
        <f>ROUND(Planificación!$E$133-Planificación!$E$40-Planificación!$E$95*(A39-21)/21,0)</f>
        <v/>
      </c>
      <c r="F39" s="52">
        <f>$D$5-D39</f>
        <v/>
      </c>
      <c r="G39" s="52">
        <f>Planificación!$E$133-E39</f>
        <v/>
      </c>
      <c r="H39" s="27">
        <f>'Tabla de Esfuerzo'!$D$93</f>
        <v/>
      </c>
    </row>
    <row r="40" ht="15.75" customHeight="1">
      <c r="A40" s="27" t="n">
        <v>35</v>
      </c>
      <c r="B40" s="27" t="inlineStr">
        <is>
          <t>06-09</t>
        </is>
      </c>
      <c r="C40" s="27" t="inlineStr">
        <is>
          <t>Sprint 2</t>
        </is>
      </c>
      <c r="D40" s="52">
        <f>'Tabla de Esfuerzo'!AM6</f>
        <v/>
      </c>
      <c r="E40" s="52">
        <f>ROUND(Planificación!$E$133-Planificación!$E$40-Planificación!$E$95*(A40-21)/21,0)</f>
        <v/>
      </c>
      <c r="F40" s="52">
        <f>$D$5-D40</f>
        <v/>
      </c>
      <c r="G40" s="52">
        <f>Planificación!$E$133-E40</f>
        <v/>
      </c>
      <c r="H40" s="27">
        <f>'Tabla de Esfuerzo'!$D$93</f>
        <v/>
      </c>
    </row>
    <row r="41" ht="15.75" customHeight="1">
      <c r="A41" s="27" t="n">
        <v>36</v>
      </c>
      <c r="B41" s="27" t="inlineStr">
        <is>
          <t>07-09</t>
        </is>
      </c>
      <c r="C41" s="27" t="inlineStr">
        <is>
          <t>Sprint 2</t>
        </is>
      </c>
      <c r="D41" s="52">
        <f>'Tabla de Esfuerzo'!AN6</f>
        <v/>
      </c>
      <c r="E41" s="52">
        <f>ROUND(Planificación!$E$133-Planificación!$E$40-Planificación!$E$95*(A41-21)/21,0)</f>
        <v/>
      </c>
      <c r="F41" s="52">
        <f>$D$5-D41</f>
        <v/>
      </c>
      <c r="G41" s="52">
        <f>Planificación!$E$133-E41</f>
        <v/>
      </c>
      <c r="H41" s="27">
        <f>'Tabla de Esfuerzo'!$D$93</f>
        <v/>
      </c>
    </row>
    <row r="42" ht="15.75" customHeight="1">
      <c r="A42" s="27" t="n">
        <v>37</v>
      </c>
      <c r="B42" s="27" t="inlineStr">
        <is>
          <t>08-09</t>
        </is>
      </c>
      <c r="C42" s="27" t="inlineStr">
        <is>
          <t>Sprint 2</t>
        </is>
      </c>
      <c r="D42" s="52">
        <f>'Tabla de Esfuerzo'!AO6</f>
        <v/>
      </c>
      <c r="E42" s="52">
        <f>ROUND(Planificación!$E$133-Planificación!$E$40-Planificación!$E$95*(A42-21)/21,0)</f>
        <v/>
      </c>
      <c r="F42" s="52">
        <f>$D$5-D42</f>
        <v/>
      </c>
      <c r="G42" s="52">
        <f>Planificación!$E$133-E42</f>
        <v/>
      </c>
      <c r="H42" s="27">
        <f>'Tabla de Esfuerzo'!$D$93</f>
        <v/>
      </c>
    </row>
    <row r="43" ht="15.75" customHeight="1">
      <c r="A43" s="27" t="n">
        <v>38</v>
      </c>
      <c r="B43" s="27" t="inlineStr">
        <is>
          <t>09-09</t>
        </is>
      </c>
      <c r="C43" s="27" t="inlineStr">
        <is>
          <t>Sprint 2</t>
        </is>
      </c>
      <c r="D43" s="52">
        <f>'Tabla de Esfuerzo'!AP6</f>
        <v/>
      </c>
      <c r="E43" s="52">
        <f>ROUND(Planificación!$E$133-Planificación!$E$40-Planificación!$E$95*(A43-21)/21,0)</f>
        <v/>
      </c>
      <c r="F43" s="52">
        <f>$D$5-D43</f>
        <v/>
      </c>
      <c r="G43" s="52">
        <f>Planificación!$E$133-E43</f>
        <v/>
      </c>
      <c r="H43" s="27">
        <f>'Tabla de Esfuerzo'!$D$93</f>
        <v/>
      </c>
    </row>
    <row r="44" ht="15.75" customHeight="1">
      <c r="A44" s="27" t="n">
        <v>39</v>
      </c>
      <c r="B44" s="27" t="inlineStr">
        <is>
          <t>10-09</t>
        </is>
      </c>
      <c r="C44" s="27" t="inlineStr">
        <is>
          <t>Sprint 2</t>
        </is>
      </c>
      <c r="D44" s="52">
        <f>'Tabla de Esfuerzo'!AQ6</f>
        <v/>
      </c>
      <c r="E44" s="52">
        <f>ROUND(Planificación!$E$133-Planificación!$E$40-Planificación!$E$95*(A44-21)/21,0)</f>
        <v/>
      </c>
      <c r="F44" s="52">
        <f>$D$5-D44</f>
        <v/>
      </c>
      <c r="G44" s="52">
        <f>Planificación!$E$133-E44</f>
        <v/>
      </c>
      <c r="H44" s="27">
        <f>'Tabla de Esfuerzo'!$D$93</f>
        <v/>
      </c>
    </row>
    <row r="45" ht="15.75" customHeight="1">
      <c r="A45" s="27" t="n">
        <v>40</v>
      </c>
      <c r="B45" s="27" t="inlineStr">
        <is>
          <t>11-09</t>
        </is>
      </c>
      <c r="C45" s="27" t="inlineStr">
        <is>
          <t>Sprint 2</t>
        </is>
      </c>
      <c r="D45" s="52">
        <f>'Tabla de Esfuerzo'!AR6</f>
        <v/>
      </c>
      <c r="E45" s="52">
        <f>ROUND(Planificación!$E$133-Planificación!$E$40-Planificación!$E$95*(A45-21)/21,0)</f>
        <v/>
      </c>
      <c r="F45" s="52">
        <f>$D$5-D45</f>
        <v/>
      </c>
      <c r="G45" s="52">
        <f>Planificación!$E$133-E45</f>
        <v/>
      </c>
      <c r="H45" s="27">
        <f>'Tabla de Esfuerzo'!$D$93</f>
        <v/>
      </c>
    </row>
    <row r="46" ht="15.75" customHeight="1">
      <c r="A46" s="27" t="n">
        <v>41</v>
      </c>
      <c r="B46" s="27" t="inlineStr">
        <is>
          <t>12-09</t>
        </is>
      </c>
      <c r="C46" s="27" t="inlineStr">
        <is>
          <t>Sprint 2</t>
        </is>
      </c>
      <c r="D46" s="52">
        <f>'Tabla de Esfuerzo'!AS6</f>
        <v/>
      </c>
      <c r="E46" s="52">
        <f>ROUND(Planificación!$E$133-Planificación!$E$40-Planificación!$E$95*(A46-21)/21,0)</f>
        <v/>
      </c>
      <c r="F46" s="52">
        <f>$D$5-D46</f>
        <v/>
      </c>
      <c r="G46" s="52">
        <f>Planificación!$E$133-E46</f>
        <v/>
      </c>
      <c r="H46" s="27">
        <f>'Tabla de Esfuerzo'!$D$93</f>
        <v/>
      </c>
    </row>
    <row r="47" ht="15.75" customHeight="1">
      <c r="A47" s="27" t="n">
        <v>42</v>
      </c>
      <c r="B47" s="27" t="inlineStr">
        <is>
          <t>13-09</t>
        </is>
      </c>
      <c r="C47" s="27" t="inlineStr">
        <is>
          <t>Sprint 2</t>
        </is>
      </c>
      <c r="D47" s="52">
        <f>'Tabla de Esfuerzo'!AT6</f>
        <v/>
      </c>
      <c r="E47" s="52">
        <f>ROUND(Planificación!$E$133-Planificación!$E$40-Planificación!$E$95*(A47-21)/21,0)</f>
        <v/>
      </c>
      <c r="F47" s="52">
        <f>$D$5-D47</f>
        <v/>
      </c>
      <c r="G47" s="52">
        <f>Planificación!$E$133-E47</f>
        <v/>
      </c>
      <c r="H47" s="27">
        <f>'Tabla de Esfuerzo'!$D$93</f>
        <v/>
      </c>
    </row>
    <row r="48" ht="15.75" customHeight="1">
      <c r="A48" s="50" t="n">
        <v>43</v>
      </c>
      <c r="B48" s="50" t="inlineStr">
        <is>
          <t>15-09</t>
        </is>
      </c>
      <c r="C48" s="50" t="inlineStr">
        <is>
          <t>Sprint 3</t>
        </is>
      </c>
      <c r="D48" s="53">
        <f>'Tabla de Esfuerzo'!AU6</f>
        <v/>
      </c>
      <c r="E48" s="53">
        <f>ROUND(Planificación!$E$131-Planificación!$E$131*(A48-42)/19,0)</f>
        <v/>
      </c>
      <c r="F48" s="53">
        <f>$D$5-D48</f>
        <v/>
      </c>
      <c r="G48" s="53">
        <f>Planificación!$E$133-E48</f>
        <v/>
      </c>
      <c r="H48" s="50">
        <f>$D$5</f>
        <v/>
      </c>
    </row>
    <row r="49" ht="15.75" customHeight="1">
      <c r="A49" s="50" t="n">
        <v>44</v>
      </c>
      <c r="B49" s="50" t="inlineStr">
        <is>
          <t>16-09</t>
        </is>
      </c>
      <c r="C49" s="50" t="inlineStr">
        <is>
          <t>Sprint 3</t>
        </is>
      </c>
      <c r="D49" s="53">
        <f>'Tabla de Esfuerzo'!AV6</f>
        <v/>
      </c>
      <c r="E49" s="53">
        <f>ROUND(Planificación!$E$131-Planificación!$E$131*(A49-42)/19,0)</f>
        <v/>
      </c>
      <c r="F49" s="53">
        <f>$D$5-D49</f>
        <v/>
      </c>
      <c r="G49" s="53">
        <f>Planificación!$E$133-E49</f>
        <v/>
      </c>
      <c r="H49" s="50">
        <f>$D$5</f>
        <v/>
      </c>
    </row>
    <row r="50" ht="15.75" customHeight="1">
      <c r="A50" s="50" t="n">
        <v>45</v>
      </c>
      <c r="B50" s="50" t="inlineStr">
        <is>
          <t>17-09</t>
        </is>
      </c>
      <c r="C50" s="50" t="inlineStr">
        <is>
          <t>Sprint 3</t>
        </is>
      </c>
      <c r="D50" s="53">
        <f>'Tabla de Esfuerzo'!AW6</f>
        <v/>
      </c>
      <c r="E50" s="53">
        <f>ROUND(Planificación!$E$131-Planificación!$E$131*(A50-42)/19,0)</f>
        <v/>
      </c>
      <c r="F50" s="53">
        <f>$D$5-D50</f>
        <v/>
      </c>
      <c r="G50" s="53">
        <f>Planificación!$E$133-E50</f>
        <v/>
      </c>
      <c r="H50" s="50">
        <f>$D$5</f>
        <v/>
      </c>
    </row>
    <row r="51" ht="15.75" customHeight="1">
      <c r="A51" s="50" t="n">
        <v>46</v>
      </c>
      <c r="B51" s="50" t="inlineStr">
        <is>
          <t>18-09</t>
        </is>
      </c>
      <c r="C51" s="50" t="inlineStr">
        <is>
          <t>Sprint 3</t>
        </is>
      </c>
      <c r="D51" s="53">
        <f>'Tabla de Esfuerzo'!AX6</f>
        <v/>
      </c>
      <c r="E51" s="53">
        <f>ROUND(Planificación!$E$131-Planificación!$E$131*(A51-42)/19,0)</f>
        <v/>
      </c>
      <c r="F51" s="53">
        <f>$D$5-D51</f>
        <v/>
      </c>
      <c r="G51" s="53">
        <f>Planificación!$E$133-E51</f>
        <v/>
      </c>
      <c r="H51" s="50">
        <f>$D$5</f>
        <v/>
      </c>
    </row>
    <row r="52" ht="15.75" customHeight="1">
      <c r="A52" s="50" t="n">
        <v>47</v>
      </c>
      <c r="B52" s="50" t="inlineStr">
        <is>
          <t>19-09</t>
        </is>
      </c>
      <c r="C52" s="50" t="inlineStr">
        <is>
          <t>Sprint 3</t>
        </is>
      </c>
      <c r="D52" s="53">
        <f>'Tabla de Esfuerzo'!AY6</f>
        <v/>
      </c>
      <c r="E52" s="53">
        <f>ROUND(Planificación!$E$131-Planificación!$E$131*(A52-42)/19,0)</f>
        <v/>
      </c>
      <c r="F52" s="53">
        <f>$D$5-D52</f>
        <v/>
      </c>
      <c r="G52" s="53">
        <f>Planificación!$E$133-E52</f>
        <v/>
      </c>
      <c r="H52" s="50">
        <f>$D$5</f>
        <v/>
      </c>
    </row>
    <row r="53" ht="15.75" customHeight="1">
      <c r="A53" s="50" t="n">
        <v>48</v>
      </c>
      <c r="B53" s="50" t="inlineStr">
        <is>
          <t>20-09</t>
        </is>
      </c>
      <c r="C53" s="50" t="inlineStr">
        <is>
          <t>Sprint 3</t>
        </is>
      </c>
      <c r="D53" s="53">
        <f>'Tabla de Esfuerzo'!AZ6</f>
        <v/>
      </c>
      <c r="E53" s="53">
        <f>ROUND(Planificación!$E$131-Planificación!$E$131*(A53-42)/19,0)</f>
        <v/>
      </c>
      <c r="F53" s="53">
        <f>$D$5-D53</f>
        <v/>
      </c>
      <c r="G53" s="53">
        <f>Planificación!$E$133-E53</f>
        <v/>
      </c>
      <c r="H53" s="50">
        <f>$D$5</f>
        <v/>
      </c>
    </row>
    <row r="54" ht="15.75" customHeight="1">
      <c r="A54" s="50" t="n">
        <v>49</v>
      </c>
      <c r="B54" s="50" t="inlineStr">
        <is>
          <t>21-09</t>
        </is>
      </c>
      <c r="C54" s="50" t="inlineStr">
        <is>
          <t>Sprint 3</t>
        </is>
      </c>
      <c r="D54" s="53">
        <f>'Tabla de Esfuerzo'!BA6</f>
        <v/>
      </c>
      <c r="E54" s="53">
        <f>ROUND(Planificación!$E$131-Planificación!$E$131*(A54-42)/19,0)</f>
        <v/>
      </c>
      <c r="F54" s="53">
        <f>$D$5-D54</f>
        <v/>
      </c>
      <c r="G54" s="53">
        <f>Planificación!$E$133-E54</f>
        <v/>
      </c>
      <c r="H54" s="50">
        <f>$D$5</f>
        <v/>
      </c>
    </row>
    <row r="55" ht="15.75" customHeight="1">
      <c r="A55" s="50" t="n">
        <v>50</v>
      </c>
      <c r="B55" s="50" t="inlineStr">
        <is>
          <t>22-09</t>
        </is>
      </c>
      <c r="C55" s="50" t="inlineStr">
        <is>
          <t>Sprint 3</t>
        </is>
      </c>
      <c r="D55" s="53">
        <f>'Tabla de Esfuerzo'!BB6</f>
        <v/>
      </c>
      <c r="E55" s="53">
        <f>ROUND(Planificación!$E$131-Planificación!$E$131*(A55-42)/19,0)</f>
        <v/>
      </c>
      <c r="F55" s="53">
        <f>$D$5-D55</f>
        <v/>
      </c>
      <c r="G55" s="53">
        <f>Planificación!$E$133-E55</f>
        <v/>
      </c>
      <c r="H55" s="50">
        <f>$D$5</f>
        <v/>
      </c>
    </row>
    <row r="56" ht="15.75" customHeight="1">
      <c r="A56" s="50" t="n">
        <v>51</v>
      </c>
      <c r="B56" s="50" t="inlineStr">
        <is>
          <t>23-09</t>
        </is>
      </c>
      <c r="C56" s="50" t="inlineStr">
        <is>
          <t>Sprint 3</t>
        </is>
      </c>
      <c r="D56" s="53">
        <f>'Tabla de Esfuerzo'!BC6</f>
        <v/>
      </c>
      <c r="E56" s="53">
        <f>ROUND(Planificación!$E$131-Planificación!$E$131*(A56-42)/19,0)</f>
        <v/>
      </c>
      <c r="F56" s="53">
        <f>$D$5-D56</f>
        <v/>
      </c>
      <c r="G56" s="53">
        <f>Planificación!$E$133-E56</f>
        <v/>
      </c>
      <c r="H56" s="50">
        <f>$D$5</f>
        <v/>
      </c>
    </row>
    <row r="57" ht="15.75" customHeight="1">
      <c r="A57" s="50" t="n">
        <v>52</v>
      </c>
      <c r="B57" s="50" t="inlineStr">
        <is>
          <t>24-09</t>
        </is>
      </c>
      <c r="C57" s="50" t="inlineStr">
        <is>
          <t>Sprint 3</t>
        </is>
      </c>
      <c r="D57" s="53">
        <f>'Tabla de Esfuerzo'!BD6</f>
        <v/>
      </c>
      <c r="E57" s="53">
        <f>ROUND(Planificación!$E$131-Planificación!$E$131*(A57-42)/19,0)</f>
        <v/>
      </c>
      <c r="F57" s="53">
        <f>$D$5-D57</f>
        <v/>
      </c>
      <c r="G57" s="53">
        <f>Planificación!$E$133-E57</f>
        <v/>
      </c>
      <c r="H57" s="50">
        <f>$D$5</f>
        <v/>
      </c>
    </row>
    <row r="58" ht="15.75" customHeight="1">
      <c r="A58" s="50" t="n">
        <v>53</v>
      </c>
      <c r="B58" s="50" t="inlineStr">
        <is>
          <t>25-09</t>
        </is>
      </c>
      <c r="C58" s="50" t="inlineStr">
        <is>
          <t>Sprint 3</t>
        </is>
      </c>
      <c r="D58" s="53">
        <f>'Tabla de Esfuerzo'!BE6</f>
        <v/>
      </c>
      <c r="E58" s="53">
        <f>ROUND(Planificación!$E$131-Planificación!$E$131*(A58-42)/19,0)</f>
        <v/>
      </c>
      <c r="F58" s="53">
        <f>$D$5-D58</f>
        <v/>
      </c>
      <c r="G58" s="53">
        <f>Planificación!$E$133-E58</f>
        <v/>
      </c>
      <c r="H58" s="50">
        <f>$D$5</f>
        <v/>
      </c>
    </row>
    <row r="59" ht="15.75" customHeight="1">
      <c r="A59" s="50" t="n">
        <v>54</v>
      </c>
      <c r="B59" s="50" t="inlineStr">
        <is>
          <t>26-09</t>
        </is>
      </c>
      <c r="C59" s="50" t="inlineStr">
        <is>
          <t>Sprint 3</t>
        </is>
      </c>
      <c r="D59" s="53">
        <f>'Tabla de Esfuerzo'!BF6</f>
        <v/>
      </c>
      <c r="E59" s="53">
        <f>ROUND(Planificación!$E$131-Planificación!$E$131*(A59-42)/19,0)</f>
        <v/>
      </c>
      <c r="F59" s="53">
        <f>$D$5-D59</f>
        <v/>
      </c>
      <c r="G59" s="53">
        <f>Planificación!$E$133-E59</f>
        <v/>
      </c>
      <c r="H59" s="50">
        <f>$D$5</f>
        <v/>
      </c>
    </row>
    <row r="60" ht="15.75" customHeight="1">
      <c r="A60" s="50" t="n">
        <v>55</v>
      </c>
      <c r="B60" s="50" t="inlineStr">
        <is>
          <t>27-09</t>
        </is>
      </c>
      <c r="C60" s="50" t="inlineStr">
        <is>
          <t>Sprint 3</t>
        </is>
      </c>
      <c r="D60" s="53">
        <f>'Tabla de Esfuerzo'!BG6</f>
        <v/>
      </c>
      <c r="E60" s="53">
        <f>ROUND(Planificación!$E$131-Planificación!$E$131*(A60-42)/19,0)</f>
        <v/>
      </c>
      <c r="F60" s="53">
        <f>$D$5-D60</f>
        <v/>
      </c>
      <c r="G60" s="53">
        <f>Planificación!$E$133-E60</f>
        <v/>
      </c>
      <c r="H60" s="50">
        <f>$D$5</f>
        <v/>
      </c>
    </row>
    <row r="61" ht="15.75" customHeight="1">
      <c r="A61" s="50" t="n">
        <v>56</v>
      </c>
      <c r="B61" s="50" t="inlineStr">
        <is>
          <t>28-09</t>
        </is>
      </c>
      <c r="C61" s="50" t="inlineStr">
        <is>
          <t>Sprint 3</t>
        </is>
      </c>
      <c r="D61" s="53">
        <f>'Tabla de Esfuerzo'!BH6</f>
        <v/>
      </c>
      <c r="E61" s="53">
        <f>ROUND(Planificación!$E$131-Planificación!$E$131*(A61-42)/19,0)</f>
        <v/>
      </c>
      <c r="F61" s="53">
        <f>$D$5-D61</f>
        <v/>
      </c>
      <c r="G61" s="53">
        <f>Planificación!$E$133-E61</f>
        <v/>
      </c>
      <c r="H61" s="50">
        <f>$D$5</f>
        <v/>
      </c>
    </row>
    <row r="62" ht="15.75" customHeight="1">
      <c r="A62" s="50" t="n">
        <v>57</v>
      </c>
      <c r="B62" s="50" t="inlineStr">
        <is>
          <t>29-09</t>
        </is>
      </c>
      <c r="C62" s="50" t="inlineStr">
        <is>
          <t>Sprint 3</t>
        </is>
      </c>
      <c r="D62" s="53">
        <f>'Tabla de Esfuerzo'!BI6</f>
        <v/>
      </c>
      <c r="E62" s="53">
        <f>ROUND(Planificación!$E$131-Planificación!$E$131*(A62-42)/19,0)</f>
        <v/>
      </c>
      <c r="F62" s="53">
        <f>$D$5-D62</f>
        <v/>
      </c>
      <c r="G62" s="53">
        <f>Planificación!$E$133-E62</f>
        <v/>
      </c>
      <c r="H62" s="50">
        <f>$D$5</f>
        <v/>
      </c>
    </row>
    <row r="63" ht="15.75" customHeight="1">
      <c r="A63" s="50" t="n">
        <v>58</v>
      </c>
      <c r="B63" s="50" t="inlineStr">
        <is>
          <t>30-09</t>
        </is>
      </c>
      <c r="C63" s="50" t="inlineStr">
        <is>
          <t>Sprint 3</t>
        </is>
      </c>
      <c r="D63" s="53">
        <f>'Tabla de Esfuerzo'!BJ6</f>
        <v/>
      </c>
      <c r="E63" s="53">
        <f>ROUND(Planificación!$E$131-Planificación!$E$131*(A63-42)/19,0)</f>
        <v/>
      </c>
      <c r="F63" s="53">
        <f>$D$5-D63</f>
        <v/>
      </c>
      <c r="G63" s="53">
        <f>Planificación!$E$133-E63</f>
        <v/>
      </c>
      <c r="H63" s="50">
        <f>$D$5</f>
        <v/>
      </c>
    </row>
    <row r="64" ht="15.75" customHeight="1">
      <c r="A64" s="50" t="n">
        <v>59</v>
      </c>
      <c r="B64" s="50" t="inlineStr">
        <is>
          <t>01-10</t>
        </is>
      </c>
      <c r="C64" s="50" t="inlineStr">
        <is>
          <t>Sprint 3</t>
        </is>
      </c>
      <c r="D64" s="53">
        <f>'Tabla de Esfuerzo'!BK6</f>
        <v/>
      </c>
      <c r="E64" s="53">
        <f>ROUND(Planificación!$E$131-Planificación!$E$131*(A64-42)/19,0)</f>
        <v/>
      </c>
      <c r="F64" s="53">
        <f>$D$5-D64</f>
        <v/>
      </c>
      <c r="G64" s="53">
        <f>Planificación!$E$133-E64</f>
        <v/>
      </c>
      <c r="H64" s="50">
        <f>$D$5</f>
        <v/>
      </c>
    </row>
    <row r="65" ht="15.75" customHeight="1">
      <c r="A65" s="50" t="n">
        <v>60</v>
      </c>
      <c r="B65" s="50" t="inlineStr">
        <is>
          <t>02-10</t>
        </is>
      </c>
      <c r="C65" s="50" t="inlineStr">
        <is>
          <t>Sprint 3</t>
        </is>
      </c>
      <c r="D65" s="53">
        <f>'Tabla de Esfuerzo'!BL6</f>
        <v/>
      </c>
      <c r="E65" s="53">
        <f>ROUND(Planificación!$E$131-Planificación!$E$131*(A65-42)/19,0)</f>
        <v/>
      </c>
      <c r="F65" s="53">
        <f>$D$5-D65</f>
        <v/>
      </c>
      <c r="G65" s="53">
        <f>Planificación!$E$133-E65</f>
        <v/>
      </c>
      <c r="H65" s="50">
        <f>$D$5</f>
        <v/>
      </c>
    </row>
    <row r="66" ht="15.75" customHeight="1">
      <c r="A66" s="50" t="n">
        <v>61</v>
      </c>
      <c r="B66" s="50" t="inlineStr">
        <is>
          <t>03-10</t>
        </is>
      </c>
      <c r="C66" s="50" t="inlineStr">
        <is>
          <t>Sprint 3</t>
        </is>
      </c>
      <c r="D66" s="53">
        <f>'Tabla de Esfuerzo'!BM6</f>
        <v/>
      </c>
      <c r="E66" s="53">
        <f>ROUND(Planificación!$E$131-Planificación!$E$131*(A66-42)/19,0)</f>
        <v/>
      </c>
      <c r="F66" s="53">
        <f>$D$5-D66</f>
        <v/>
      </c>
      <c r="G66" s="53">
        <f>Planificación!$E$133-E66</f>
        <v/>
      </c>
      <c r="H66" s="50">
        <f>$D$5</f>
        <v/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2026-09-13T05:39:20Z</dcterms:created>
  <dcterms:modified xmlns:dcterms="http://purl.org/dc/terms/" xmlns:xsi="http://www.w3.org/2001/XMLSchema-instance" xsi:type="dcterms:W3CDTF">2026-10-04T22:45:15Z</dcterms:modified>
  <cp:lastModifiedBy>Catalina Lino</cp:lastModifiedBy>
</cp:coreProperties>
</file>